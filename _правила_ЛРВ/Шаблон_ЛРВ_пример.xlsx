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" sheetId="1" state="visible" r:id="rId3"/>
    <sheet name="Ресурсы" sheetId="2" state="visible" r:id="rId4"/>
    <sheet name="Спецификация" sheetId="3" state="visible" r:id="rId5"/>
    <sheet name="ВОР" sheetId="4" state="visible" r:id="rId6"/>
    <sheet name="ЛРВ-ТХ" sheetId="5" state="visible" r:id="rId7"/>
    <sheet name="ЛРВ-ГП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<sst xmlns="http://schemas.openxmlformats.org/spreadsheetml/2006/main" count="518" uniqueCount="253">
  <si>
    <t xml:space="preserve">РЕЕСТР ЛОКАЛЬНЫХ РЕСУРСНЫХ ВЕДОМОСТЕЙ</t>
  </si>
  <si>
    <t xml:space="preserve">Объект: ПРИМЕР (условный). Цены IV кв. 2026г. г. Ташкент, сум</t>
  </si>
  <si>
    <t xml:space="preserve">№</t>
  </si>
  <si>
    <t xml:space="preserve">Марка РД</t>
  </si>
  <si>
    <t xml:space="preserve">Дисциплина</t>
  </si>
  <si>
    <t xml:space="preserve">Наименование ЛРВ</t>
  </si>
  <si>
    <t xml:space="preserve">Итого без НДС, сум</t>
  </si>
  <si>
    <t xml:space="preserve">НДС 12%, сум</t>
  </si>
  <si>
    <t xml:space="preserve">Материалы заказчика, сум</t>
  </si>
  <si>
    <t xml:space="preserve">Всего с НДС, сум</t>
  </si>
  <si>
    <t xml:space="preserve">Замечаний к РД</t>
  </si>
  <si>
    <t xml:space="preserve">Примечание</t>
  </si>
  <si>
    <t xml:space="preserve">ТХ</t>
  </si>
  <si>
    <t xml:space="preserve">Технологические решения</t>
  </si>
  <si>
    <t xml:space="preserve">ЛРВ-ТХ</t>
  </si>
  <si>
    <t xml:space="preserve">ГП</t>
  </si>
  <si>
    <t xml:space="preserve">Генеральный план</t>
  </si>
  <si>
    <t xml:space="preserve">ЛРВ-ГП</t>
  </si>
  <si>
    <t xml:space="preserve">ИТОГО ПО ОБЪЕКТУ</t>
  </si>
  <si>
    <t xml:space="preserve">ПРИМЕР: нормы — ШНК 4.02.01-04 (табл. 1-01-013), ШНК 4.02.25-07 (табл. 25-10-001); цены условные; дополнения к нормам в примере не проверялись.</t>
  </si>
  <si>
    <t xml:space="preserve">Ключ</t>
  </si>
  <si>
    <t xml:space="preserve">тип</t>
  </si>
  <si>
    <t xml:space="preserve">Наименование материалов и конструкций</t>
  </si>
  <si>
    <t xml:space="preserve">Единица измерения</t>
  </si>
  <si>
    <t xml:space="preserve">единицы</t>
  </si>
  <si>
    <t xml:space="preserve">Источник цены</t>
  </si>
  <si>
    <t xml:space="preserve">Позиция в прайсе</t>
  </si>
  <si>
    <t xml:space="preserve">Ед. прайса</t>
  </si>
  <si>
    <t xml:space="preserve">Цена прайса, сум</t>
  </si>
  <si>
    <t xml:space="preserve">Коэф. пересчёта</t>
  </si>
  <si>
    <t xml:space="preserve">Способ сопоставления / основание</t>
  </si>
  <si>
    <t xml:space="preserve">Статус</t>
  </si>
  <si>
    <t xml:space="preserve">ЗАТРАТЫ ТРУДА РАБОЧИХ-СТРОИТЕЛЕЙ</t>
  </si>
  <si>
    <t xml:space="preserve">ЧЕЛ-Ч</t>
  </si>
  <si>
    <t xml:space="preserve">IV кв. 2026г. г. Ташкент</t>
  </si>
  <si>
    <t xml:space="preserve">Ставка рабочего-строителя</t>
  </si>
  <si>
    <t xml:space="preserve">Совпадение наименования и ед. изм.</t>
  </si>
  <si>
    <t xml:space="preserve">Точно</t>
  </si>
  <si>
    <t xml:space="preserve">ЗАТРАТЫ ТРУДА МАШИНИСТОВ</t>
  </si>
  <si>
    <t xml:space="preserve">По норме</t>
  </si>
  <si>
    <t xml:space="preserve">—</t>
  </si>
  <si>
    <t xml:space="preserve">Оплата машинистов учтена в стоимости маш-ч</t>
  </si>
  <si>
    <t xml:space="preserve">ДОП.ПЕРЕМЕЩЕНИЕ РАБОЧИХ-СТРОИТЕЛЕЙ ПО ТРАССЕ ДО МЕСТА РАБОТЫ</t>
  </si>
  <si>
    <t xml:space="preserve">По ставке рабочего-строителя</t>
  </si>
  <si>
    <t xml:space="preserve">Проверить</t>
  </si>
  <si>
    <t xml:space="preserve">ДОП.ПЕРЕМЕЩЕНИЕ МАШИНИСТОВ ПО ТРАССЕ ДО МЕСТА РАБОТЫ</t>
  </si>
  <si>
    <t xml:space="preserve">Как затраты труда машинистов</t>
  </si>
  <si>
    <t xml:space="preserve">ЭКСКАВАТОРЫ ОДНОКОВШОВЫЕ ДИЗЕЛЬНЫЕ НА ГУСЕНИЧНОМ ХОДУ ПРИ РАБОТЕ НА ДРУГИХ ВИДАХ СТРОИТЕЛЬСТВА (КРОМЕ ВОДОХОЗЯЙСТВЕННОГО) 0,65 М3</t>
  </si>
  <si>
    <t xml:space="preserve">МАШ-Ч</t>
  </si>
  <si>
    <t xml:space="preserve">Экскаватор гусеничный 0,65 м3</t>
  </si>
  <si>
    <t xml:space="preserve">По смыслу (тип и ёмкость ковша совпадают)</t>
  </si>
  <si>
    <t xml:space="preserve">БУЛЬДОЗЕРЫ ПРИ РАБОТЕ НА ДРУГИХ ВИДАХ СТРОИТЕЛЬСТВА (КРОМЕ ВОДОХОЗЯЙСТВЕННОГО) 79 (108) КВТ (Л.С.)</t>
  </si>
  <si>
    <t xml:space="preserve">Бульдозер 108 л.с.</t>
  </si>
  <si>
    <t xml:space="preserve">По смыслу (мощность совпадает)</t>
  </si>
  <si>
    <t xml:space="preserve">КРАНЫ-ТРУБОУКЛАДЧИКИ ГРУЗОПОДЪЕМНОСТЬЮ 12 Т</t>
  </si>
  <si>
    <t xml:space="preserve">Трубоукладчик 12 т</t>
  </si>
  <si>
    <t xml:space="preserve">По смыслу (грузоподъёмность совпадает)</t>
  </si>
  <si>
    <t xml:space="preserve">ЗАХВАТ КЛЕЩЕВОЙ АВТОМАТИЧЕСКИЙ КЗ-531 ГРУЗОПОДЪЕМНОСТЬЮ 4 Т</t>
  </si>
  <si>
    <t xml:space="preserve">Нет цены</t>
  </si>
  <si>
    <t xml:space="preserve">АГРЕГАТЫ СВАРОЧНЫЕ ДВУХПОСТОВЫЕ ДЛЯ РУЧНОЙ СВАРКИ НА ТРАКТОРЕ 79 КВТ (108 Л.С.)</t>
  </si>
  <si>
    <t xml:space="preserve">Сварочный агрегат двухпостовой на тракторе</t>
  </si>
  <si>
    <t xml:space="preserve">По смыслу</t>
  </si>
  <si>
    <t xml:space="preserve">УСТАНОВКИ ГОРИЗОНТАЛЬНОГО БУРЕНИЯ ДЛЯ ТРУБ ДИАМЕТРОМ 325-630 ММ</t>
  </si>
  <si>
    <t xml:space="preserve">УГБ 325-630</t>
  </si>
  <si>
    <t xml:space="preserve">УСТАНОВКИ ДЛЯ ОТКРЫТОГО ВОДООТЛИВА НА БАЗЕ ТРАКТОРА 700 М3/ЧАС</t>
  </si>
  <si>
    <t xml:space="preserve">Водоотливная установка 700 м3/ч</t>
  </si>
  <si>
    <t xml:space="preserve">СПЕЦАВТОМАШИНЫ, ГРУЗОДОПОДЪЕМНОСТЬ ДО 8 Т, ВЕЗДЕХОД</t>
  </si>
  <si>
    <t xml:space="preserve">Вездеход грузовой 8 т</t>
  </si>
  <si>
    <t xml:space="preserve">МАШИНЫ ШЛИФОВАЛЬНЫЕ ЭЛЕКТРИЧЕСКИЕ</t>
  </si>
  <si>
    <t xml:space="preserve">Машина шлифовальная электрическая</t>
  </si>
  <si>
    <t xml:space="preserve">ЩЕБЕНЬ</t>
  </si>
  <si>
    <t xml:space="preserve">М3</t>
  </si>
  <si>
    <t xml:space="preserve">Щебень фр. 20-40</t>
  </si>
  <si>
    <t xml:space="preserve">Т</t>
  </si>
  <si>
    <t xml:space="preserve">Пересчёт Т → М3: насыпная плотность 1,45 т/м3</t>
  </si>
  <si>
    <t xml:space="preserve">ТРУБЫ СТАЛЬНЫЕ ЭЛЕКТРОСВАРНЫЕ ПРЯМОШОВНЫЕ СО СНЯТОЙ ФАСКОЙ ДИАМЕТРОМ ОТ 20 ДО 377 ММ ИЗ СТАЛИ МАРОК БСТ2КП-БСТ4КП И БСТ2ПС-БСТ4ПС НАРУЖНЫЙ ДИАМЕТР 325 ММ ТОЛЩИНА СТЕНКИ 6 ММ</t>
  </si>
  <si>
    <t xml:space="preserve">М</t>
  </si>
  <si>
    <t xml:space="preserve">Труба 325х6</t>
  </si>
  <si>
    <t xml:space="preserve">Пересчёт Т → М: 47,22 кг/м (ГОСТ 10704)</t>
  </si>
  <si>
    <t xml:space="preserve">ТРУБЫ СТАЛЬНЫЕ ЭЛЕКТРОСВАРНЫЕ ПРЯМОШОВНЫЕ И СПИРАЛЬНО-ШОВНЫЕ БОЛЬШИХ ДИАМЕТРОВ ГРУППЫ А И Б С СОПРОТИВЛЕНИЕМ ПО РАЗРЫВУ 38 КГС/ММ2 НАРУЖНЫЙ ДИАМЕТР 530 ММ ТОЛЩИНА СТЕНКИ 8 ММ</t>
  </si>
  <si>
    <t xml:space="preserve">Труба 530х8</t>
  </si>
  <si>
    <t xml:space="preserve">Пересчёт Т → М: 103,0 кг/м (ГОСТ 10704)</t>
  </si>
  <si>
    <t xml:space="preserve">ЭЛЕКТРОДЫ С ОСНОВНЫМ ПОКРЫТИЕМ КЛАССА Э42А ДИАМЕТРОМ 2,5 ММ</t>
  </si>
  <si>
    <t xml:space="preserve">Электроды Э42А Ø2,5</t>
  </si>
  <si>
    <t xml:space="preserve">КГ</t>
  </si>
  <si>
    <t xml:space="preserve">Пересчёт КГ → Т (×1000)</t>
  </si>
  <si>
    <t xml:space="preserve">ЭЛЕКТРОДЫ С ОСНОВНЫМ ПОКРЫТИЕМ КЛАССА Э50А ДИАМЕТРОМ 4 ММ</t>
  </si>
  <si>
    <t xml:space="preserve">Электроды сварочные Э50А Ø4</t>
  </si>
  <si>
    <t xml:space="preserve">ГРУНТОВКА ГТ-752</t>
  </si>
  <si>
    <t xml:space="preserve">Грунтовка ГТ-752</t>
  </si>
  <si>
    <t xml:space="preserve">ЛЕНТА ПОЛИВИНИЛХЛОРИДНАЯ ДЛЯ ИЗОЛЯЦИИ ГАЗОНЕФТЕПРО-ДУКТОПРОВОДОВ ПВХ-БК (ЛИПКАЯ), ТОЛЩИНОЙ 0.4 ММ</t>
  </si>
  <si>
    <t xml:space="preserve">М2</t>
  </si>
  <si>
    <t xml:space="preserve">Лента ПВХ-БК 0,4 мм</t>
  </si>
  <si>
    <t xml:space="preserve">ПЛЕНКА ОБЕРТОЧНАЯ ПЭКОМ ТОЛЩИНОЙ 0.6 ММ</t>
  </si>
  <si>
    <t xml:space="preserve">Плёнка ПЭКОМ 0,6 мм</t>
  </si>
  <si>
    <t xml:space="preserve">ШЛИФКРУГИ</t>
  </si>
  <si>
    <t xml:space="preserve">ШТ</t>
  </si>
  <si>
    <t xml:space="preserve">Круг шлифовальный</t>
  </si>
  <si>
    <t xml:space="preserve">ПИЛОМАТЕРИАЛЫ ХВОЙНЫХ ПОРОД. БРУСЬЯ ОБРЕЗНЫЕ ДЛИНОЙ 4-6.5М, ШИРИНОЙ 75-150 ММ, ТОЛЩИНОЙ 150 ММ И БОЛЕЕ III СОРТА</t>
  </si>
  <si>
    <t xml:space="preserve">Брус хвойный обрезной 150 мм</t>
  </si>
  <si>
    <t xml:space="preserve">ЩЕТКИ КОЛЬЦЕВЫЕ ПРОВОЛОЧНЫЕ</t>
  </si>
  <si>
    <t xml:space="preserve">Щётка кольцевая проволочная</t>
  </si>
  <si>
    <t xml:space="preserve">обор.</t>
  </si>
  <si>
    <t xml:space="preserve">КРАН ШАРОВОЙ ДУ500 РУ8,0 МПА ПОДЗЕМНОЙ УСТАНОВКИ</t>
  </si>
  <si>
    <t xml:space="preserve">Кран шаровой Ду500 Ру80</t>
  </si>
  <si>
    <t xml:space="preserve">каб.</t>
  </si>
  <si>
    <t xml:space="preserve">КАБЕЛЬ ВВГНГ(А)-LS 3Х2,5</t>
  </si>
  <si>
    <t xml:space="preserve">Кабель ВВГнг-LS 3х2,5</t>
  </si>
  <si>
    <t xml:space="preserve">мз</t>
  </si>
  <si>
    <t xml:space="preserve">ОТВОД ГНУТЫЙ 30° 530Х8</t>
  </si>
  <si>
    <t xml:space="preserve">Отвод гнутый 30° 530х8</t>
  </si>
  <si>
    <t xml:space="preserve">E = Цена прайса × Коэф. пересчёта (I×J); нет цены — E пусто. Колонки G–L сгруппированы (кнопка «+»). Синим — данные прайса. Статус: зелёный — точно; жёлтый — по смыслу/с пересчётом, проверить; красный — нет цены.</t>
  </si>
  <si>
    <t xml:space="preserve">СПЕЦИФИКАЦИЯ ОБОРУДОВАНИЯ, ИЗДЕЛИЙ И МАТЕРИАЛОВ</t>
  </si>
  <si>
    <t xml:space="preserve">Объект: ПРИМЕР (условный). Источник: РД марки ТХ, ГП</t>
  </si>
  <si>
    <t xml:space="preserve">Наименование и техническая характеристика</t>
  </si>
  <si>
    <t xml:space="preserve">Ед. изм.</t>
  </si>
  <si>
    <t xml:space="preserve">Кол-во</t>
  </si>
  <si>
    <t xml:space="preserve">Раздел</t>
  </si>
  <si>
    <t xml:space="preserve">ТХ — ТЕХНОЛОГИЧЕСКИЕ РЕШЕНИЯ</t>
  </si>
  <si>
    <t xml:space="preserve">Раздел 1. Оборудование</t>
  </si>
  <si>
    <t xml:space="preserve">1</t>
  </si>
  <si>
    <t xml:space="preserve">Кран шаровой Ду500 Ру8,0 МПа подземной установки</t>
  </si>
  <si>
    <t xml:space="preserve">шт</t>
  </si>
  <si>
    <t xml:space="preserve">Оборудование (обор.)</t>
  </si>
  <si>
    <t xml:space="preserve">⚠ Замечание № 1 к РД: в спецификации 2 шт, на листе ТХ-3 — 3 шт. Принято 3 шт (больший)</t>
  </si>
  <si>
    <t xml:space="preserve">Раздел 2. Материалы</t>
  </si>
  <si>
    <t xml:space="preserve">2</t>
  </si>
  <si>
    <t xml:space="preserve">Отвод гнутый 30° 530×8</t>
  </si>
  <si>
    <t xml:space="preserve">Материал заказчика (мз)</t>
  </si>
  <si>
    <t xml:space="preserve">Лист ТХ-4</t>
  </si>
  <si>
    <t xml:space="preserve">3</t>
  </si>
  <si>
    <t xml:space="preserve">Труба стальная электросварная 530×8 (кожух)</t>
  </si>
  <si>
    <t xml:space="preserve">м</t>
  </si>
  <si>
    <t xml:space="preserve">Материал подрядчика</t>
  </si>
  <si>
    <t xml:space="preserve">Учтена в норме 25-10-001-05 (30,3 м на переход)</t>
  </si>
  <si>
    <t xml:space="preserve">Раздел 3. Кабельная продукция</t>
  </si>
  <si>
    <t xml:space="preserve">4</t>
  </si>
  <si>
    <t xml:space="preserve">Кабель ВВГнг(А)-LS 3×2,5</t>
  </si>
  <si>
    <t xml:space="preserve">Кабель (каб.)</t>
  </si>
  <si>
    <t xml:space="preserve">Лист ТХ-6, к электроприводу крана</t>
  </si>
  <si>
    <t xml:space="preserve">ГП — ГЕНЕРАЛЬНЫЙ ПЛАН</t>
  </si>
  <si>
    <t xml:space="preserve">Раздел 1. Материалы</t>
  </si>
  <si>
    <t xml:space="preserve">5</t>
  </si>
  <si>
    <t xml:space="preserve">Щебень</t>
  </si>
  <si>
    <t xml:space="preserve">м3</t>
  </si>
  <si>
    <t xml:space="preserve">Учтён в норме 01-01-013-8</t>
  </si>
  <si>
    <t xml:space="preserve">ВЕДОМОСТЬ ОБЪЁМОВ РАБОТ</t>
  </si>
  <si>
    <t xml:space="preserve">Объект: ПРИМЕР (условный)</t>
  </si>
  <si>
    <t xml:space="preserve">Наименование работ</t>
  </si>
  <si>
    <t xml:space="preserve">Шифр норматива</t>
  </si>
  <si>
    <t xml:space="preserve">Раздел 1. Переходы трубопровода</t>
  </si>
  <si>
    <t xml:space="preserve">Бестраншейная прокладка кожуха Ду 500 мм методом горизонтального бурения, L=30 м, группа грунтов 2</t>
  </si>
  <si>
    <t xml:space="preserve">переход</t>
  </si>
  <si>
    <t xml:space="preserve">25-10-001-05</t>
  </si>
  <si>
    <t xml:space="preserve">Лист ТХ-2 (профиль перехода), ведомость переходов ТХ-1</t>
  </si>
  <si>
    <t xml:space="preserve">Раздел 2. Монтаж оборудования</t>
  </si>
  <si>
    <t xml:space="preserve">Монтаж кранов шаровых Ду500 подземной установки</t>
  </si>
  <si>
    <t xml:space="preserve">норма не подобрана</t>
  </si>
  <si>
    <t xml:space="preserve">⚠ Замечание № 1 к РД: спецификация 2 шт / лист ТХ-3 — 3 шт. Принято 3 шт (больший). Норму на монтаж подобрать по ШНК 4.17 (в примере не приводится)</t>
  </si>
  <si>
    <t xml:space="preserve">Раздел 1. Земляные работы</t>
  </si>
  <si>
    <t xml:space="preserve">Разработка грунта с погрузкой на автомобили-самосвалы экскаватором 0,65 м3, группа грунтов 2</t>
  </si>
  <si>
    <t xml:space="preserve">01-01-013-8</t>
  </si>
  <si>
    <t xml:space="preserve">Лист ГП-2 (ведомость объёмов земляных масс): 1 250 м3; по картограмме ГП-3 — 1 180 м3. Принято 1 250 м3 (больший)</t>
  </si>
  <si>
    <t xml:space="preserve">ОБЩИЕ ПРИМЕЧАНИЯ</t>
  </si>
  <si>
    <t xml:space="preserve">1. Объёмы приняты по РД марок ТХ и ГП; при расхождении между листами принят больший объём.</t>
  </si>
  <si>
    <t xml:space="preserve">2. Шифры норм — ШНК 4.02.01-04, ШНК 4.02.25-07 (репозиторий SHNK_GSN) с учётом дополнений № 1–15.</t>
  </si>
  <si>
    <t xml:space="preserve">3. Строки, выделенные оранжевым, содержат замечания к РД — см. перечень ниже.</t>
  </si>
  <si>
    <t xml:space="preserve">ЗАМЕЧАНИЯ К РД</t>
  </si>
  <si>
    <t xml:space="preserve">Замечание</t>
  </si>
  <si>
    <t xml:space="preserve">Лист РД</t>
  </si>
  <si>
    <t xml:space="preserve">Принято</t>
  </si>
  <si>
    <t xml:space="preserve">Кран шаровой Ду500: в спецификации 2 шт, на плане — 3 шт</t>
  </si>
  <si>
    <t xml:space="preserve">ТХ-3</t>
  </si>
  <si>
    <t xml:space="preserve">3 шт</t>
  </si>
  <si>
    <t xml:space="preserve">Направить проектировщику</t>
  </si>
  <si>
    <t xml:space="preserve">N п.п.</t>
  </si>
  <si>
    <t xml:space="preserve">Шифр номера нормативов и коды ресурсов</t>
  </si>
  <si>
    <t xml:space="preserve">Наименование работ и затрат</t>
  </si>
  <si>
    <t xml:space="preserve">Количество</t>
  </si>
  <si>
    <t xml:space="preserve">Стоимость</t>
  </si>
  <si>
    <t xml:space="preserve">на ед. изм.</t>
  </si>
  <si>
    <t xml:space="preserve">по проектным данным</t>
  </si>
  <si>
    <t xml:space="preserve">Стоимость за ед.</t>
  </si>
  <si>
    <t xml:space="preserve">СУММА</t>
  </si>
  <si>
    <t xml:space="preserve">РАЗДЕЛ 1. ПЕРЕХОДЫ ТРУБОПРОВОДА</t>
  </si>
  <si>
    <t xml:space="preserve">БЕСТРАНШЕЙНАЯ ПРОКЛАДКА КОЖУХОВ ДУ 500 ММ МЕТОДОМ ГОРИЗОНТАЛЬНОГО БУРЕНИЯ В ГРУНТАХ ЕСТЕСТВЕННОЙ ВЛАЖНОСТИ (ПРОТЯЖЕННОСТЬ ЗАКРЫТОЙ ПРОХОДКИ - 30 М), ГРУППА ГРУНТОВ 2</t>
  </si>
  <si>
    <t xml:space="preserve">1 ПЕРЕХОД</t>
  </si>
  <si>
    <t xml:space="preserve">1.1</t>
  </si>
  <si>
    <t xml:space="preserve">1.2</t>
  </si>
  <si>
    <t xml:space="preserve">1.3</t>
  </si>
  <si>
    <t xml:space="preserve">2.1</t>
  </si>
  <si>
    <t xml:space="preserve">1.4</t>
  </si>
  <si>
    <t xml:space="preserve">2.2</t>
  </si>
  <si>
    <t xml:space="preserve">1.5</t>
  </si>
  <si>
    <t xml:space="preserve">С 2724</t>
  </si>
  <si>
    <t xml:space="preserve">1.6</t>
  </si>
  <si>
    <t xml:space="preserve">С 2932</t>
  </si>
  <si>
    <t xml:space="preserve">1.7</t>
  </si>
  <si>
    <t xml:space="preserve">С 126</t>
  </si>
  <si>
    <t xml:space="preserve">1.8</t>
  </si>
  <si>
    <t xml:space="preserve">С 2006</t>
  </si>
  <si>
    <t xml:space="preserve">1.9</t>
  </si>
  <si>
    <t xml:space="preserve">С 1957</t>
  </si>
  <si>
    <t xml:space="preserve">1.10</t>
  </si>
  <si>
    <t xml:space="preserve">С 1648</t>
  </si>
  <si>
    <t xml:space="preserve">1.11</t>
  </si>
  <si>
    <t xml:space="preserve">С 1147</t>
  </si>
  <si>
    <t xml:space="preserve">1.12</t>
  </si>
  <si>
    <t xml:space="preserve">С 37202</t>
  </si>
  <si>
    <t xml:space="preserve">1.13</t>
  </si>
  <si>
    <t xml:space="preserve">С 37228</t>
  </si>
  <si>
    <t xml:space="preserve">1.14</t>
  </si>
  <si>
    <t xml:space="preserve">С 14371</t>
  </si>
  <si>
    <t xml:space="preserve">1.15</t>
  </si>
  <si>
    <t xml:space="preserve">С 14374</t>
  </si>
  <si>
    <t xml:space="preserve">1.16</t>
  </si>
  <si>
    <t xml:space="preserve">С 71859</t>
  </si>
  <si>
    <t xml:space="preserve">1.17</t>
  </si>
  <si>
    <t xml:space="preserve">С 71860</t>
  </si>
  <si>
    <t xml:space="preserve">1.18</t>
  </si>
  <si>
    <t xml:space="preserve">С 71862</t>
  </si>
  <si>
    <t xml:space="preserve">1.19</t>
  </si>
  <si>
    <t xml:space="preserve">С 61706</t>
  </si>
  <si>
    <t xml:space="preserve">1.20</t>
  </si>
  <si>
    <t xml:space="preserve">С 36033</t>
  </si>
  <si>
    <t xml:space="preserve">1.21</t>
  </si>
  <si>
    <t xml:space="preserve">С 14370</t>
  </si>
  <si>
    <t xml:space="preserve">РАЗДЕЛ 2. ОБОРУДОВАНИЕ, КАБЕЛЬ И МАТЕРИАЛЫ ЗАКАЗЧИКА</t>
  </si>
  <si>
    <t xml:space="preserve">Ф</t>
  </si>
  <si>
    <t xml:space="preserve">⚠ Замечание № 1 к РД: спецификация 2 шт / лист ТХ-3 — 3 шт. Принято 3 шт</t>
  </si>
  <si>
    <t xml:space="preserve">ВСЕГО ЗАТРАТ</t>
  </si>
  <si>
    <t xml:space="preserve">СУМ</t>
  </si>
  <si>
    <t xml:space="preserve">Сзп</t>
  </si>
  <si>
    <t xml:space="preserve">Сэм</t>
  </si>
  <si>
    <t xml:space="preserve">Коэф. на стеснённые условия</t>
  </si>
  <si>
    <t xml:space="preserve">См</t>
  </si>
  <si>
    <t xml:space="preserve">Кабельная продукция</t>
  </si>
  <si>
    <t xml:space="preserve">Транспортные расходы на материалы</t>
  </si>
  <si>
    <t xml:space="preserve">Транспортные расходы на кабель</t>
  </si>
  <si>
    <t xml:space="preserve">ЗСР</t>
  </si>
  <si>
    <t xml:space="preserve">ИТОГО</t>
  </si>
  <si>
    <t xml:space="preserve">ОБОРУДОВАНИЕ</t>
  </si>
  <si>
    <t xml:space="preserve">Транспортные расходы на оборудование</t>
  </si>
  <si>
    <t xml:space="preserve">Прочие затраты и расходы Подрядчика</t>
  </si>
  <si>
    <t xml:space="preserve">НДС</t>
  </si>
  <si>
    <t xml:space="preserve">МИНУС МАТЕРИАЛЫ ЗАКАЗЧИКА</t>
  </si>
  <si>
    <t xml:space="preserve">ВСЕГО СТОИМОСТЬ СТРОИТЕЛЬСТВА В ТЕКУЩИХ ЦЕНАХ (с НДС 12%)</t>
  </si>
  <si>
    <t xml:space="preserve">РАЗДЕЛ 1. ЗЕМЛЯНЫЕ РАБОТЫ</t>
  </si>
  <si>
    <t xml:space="preserve">РАЗРАБОТКА ГРУНТА С ПОГРУЗКОЙ НА АВТОМОБИЛИ-САМОСВАЛЫ ЭКСКАВАТОРАМИ С КОВШОМ ВМЕСТИМОСТЬЮ 0,65 (0,5-1) М3, ГРУППА ГРУНТОВ 2</t>
  </si>
  <si>
    <t xml:space="preserve">1000 М3</t>
  </si>
  <si>
    <t xml:space="preserve">С2264</t>
  </si>
  <si>
    <t xml:space="preserve">С258</t>
  </si>
  <si>
    <t xml:space="preserve">М43113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</si>
</sst>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_-;\-* #,##0_-;_-* \-??_-;_-@_-"/>
    <numFmt numFmtId="166" formatCode="General"/>
    <numFmt numFmtId="167" formatCode="#,##0"/>
    <numFmt numFmtId="168" formatCode="0.0####"/>
    <numFmt numFmtId="169" formatCode="#,##0.##"/>
    <numFmt numFmtId="170" formatCode="#,##0.00###"/>
    <numFmt numFmtId="171" formatCode="@"/>
    <numFmt numFmtId="172" formatCode="#,##0.0######"/>
    <numFmt numFmtId="173" formatCode="#,##0.00"/>
    <numFmt numFmtId="174" formatCode="0.00%"/>
    <numFmt numFmtId="175" formatCode="0.0%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9"/>
      <name val="Calibri"/>
      <family val="0"/>
      <charset val="1"/>
    </font>
    <font>
      <sz val="10"/>
      <name val="Calibri"/>
      <family val="0"/>
      <charset val="1"/>
    </font>
    <font>
      <sz val="10"/>
      <color rgb="FF0563C1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sz val="9"/>
      <color rgb="FF808080"/>
      <name val="Calibri"/>
      <family val="0"/>
      <charset val="1"/>
    </font>
    <font>
      <sz val="9"/>
      <name val="Calibri"/>
      <family val="0"/>
      <charset val="1"/>
    </font>
    <font>
      <sz val="9"/>
      <color rgb="FF0000FF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9"/>
      <name val="Times New Roman Cyr"/>
      <family val="0"/>
      <charset val="1"/>
    </font>
    <font>
      <b val="true"/>
      <sz val="12"/>
      <name val="Times New Roman Cyr"/>
      <family val="0"/>
      <charset val="1"/>
    </font>
    <font>
      <b val="true"/>
      <sz val="10"/>
      <name val="Times New Roman Cyr"/>
      <family val="0"/>
      <charset val="1"/>
    </font>
    <font>
      <sz val="9"/>
      <color rgb="FF800080"/>
      <name val="Times New Roman Cyr"/>
      <family val="0"/>
      <charset val="1"/>
    </font>
    <font>
      <sz val="9"/>
      <color rgb="FF800080"/>
      <name val="Arial"/>
      <family val="0"/>
      <charset val="1"/>
    </font>
    <font>
      <sz val="9"/>
      <color rgb="FF003300"/>
      <name val="Times New Roman Cyr"/>
      <family val="0"/>
      <charset val="1"/>
    </font>
    <font>
      <sz val="9"/>
      <color rgb="FF003300"/>
      <name val="Arial"/>
      <family val="0"/>
      <charset val="1"/>
    </font>
    <font>
      <sz val="9"/>
      <color rgb="FF000080"/>
      <name val="Times New Roman Cyr"/>
      <family val="0"/>
      <charset val="1"/>
    </font>
    <font>
      <sz val="9"/>
      <color rgb="FF00008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C00000"/>
      <name val="Calibri"/>
      <family val="0"/>
      <charset val="1"/>
    </font>
    <font>
      <sz val="10"/>
      <color rgb="FF0000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DDEBF7"/>
      </patternFill>
    </fill>
    <fill>
      <patternFill patternType="solid">
        <fgColor rgb="FFE7E6E6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8CBAD"/>
      </patternFill>
    </fill>
    <fill>
      <patternFill patternType="solid">
        <fgColor rgb="FFFFC7CE"/>
        <bgColor rgb="FFF8CBAD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2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2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2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2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1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1064;&#1072;&#1073;&#1083;&#1086;&#1085;_&#1051;&#1056;&#1042;_&#1087;&#1088;&#1080;&#1084;&#1077;&#1088;.xlsx" TargetMode="External"/><Relationship Id="rId2" Type="http://schemas.openxmlformats.org/officeDocument/2006/relationships/hyperlink" Target="&#1064;&#1072;&#1073;&#1083;&#1086;&#1085;_&#1051;&#1056;&#1042;_&#1087;&#1088;&#1080;&#1084;&#1077;&#1088;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8" min="7" style="1" width="18"/>
    <col collapsed="false" customWidth="true" hidden="false" outlineLevel="0" max="9" min="9" style="1" width="11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n">
        <v>1</v>
      </c>
      <c r="B5" s="5" t="s">
        <v>12</v>
      </c>
      <c r="C5" s="6" t="s">
        <v>13</v>
      </c>
      <c r="D5" s="7" t="s">
        <v>14</v>
      </c>
      <c r="E5" s="8" t="n">
        <f aca="false">'ЛРВ-ТХ'!H45</f>
        <v>706060592.49744</v>
      </c>
      <c r="F5" s="8" t="n">
        <f aca="false">'ЛРВ-ТХ'!H46</f>
        <v>84727271.0996928</v>
      </c>
      <c r="G5" s="8" t="n">
        <f aca="false">'ЛРВ-ТХ'!H47</f>
        <v>-27200000</v>
      </c>
      <c r="H5" s="9" t="n">
        <f aca="false">'ЛРВ-ТХ'!H48</f>
        <v>763587863.597133</v>
      </c>
      <c r="I5" s="5" t="n">
        <f aca="false">COUNTIF('ЛРВ-ТХ'!I:I,"⚠*")</f>
        <v>1</v>
      </c>
      <c r="J5" s="6"/>
    </row>
    <row r="6" customFormat="false" ht="15" hidden="false" customHeight="true" outlineLevel="0" collapsed="false">
      <c r="A6" s="5" t="n">
        <v>2</v>
      </c>
      <c r="B6" s="5" t="s">
        <v>15</v>
      </c>
      <c r="C6" s="6" t="s">
        <v>16</v>
      </c>
      <c r="D6" s="7" t="s">
        <v>17</v>
      </c>
      <c r="E6" s="8" t="n">
        <f aca="false">'ЛРВ-ГП'!H25</f>
        <v>20630519.91</v>
      </c>
      <c r="F6" s="8" t="n">
        <f aca="false">'ЛРВ-ГП'!H26</f>
        <v>2475662.3892</v>
      </c>
      <c r="G6" s="8" t="n">
        <f aca="false">'ЛРВ-ГП'!H27</f>
        <v>-0</v>
      </c>
      <c r="H6" s="9" t="n">
        <f aca="false">'ЛРВ-ГП'!H28</f>
        <v>23106182.2992</v>
      </c>
      <c r="I6" s="5" t="n">
        <f aca="false">COUNTIF('ЛРВ-ГП'!I:I,"⚠*")</f>
        <v>0</v>
      </c>
      <c r="J6" s="6"/>
    </row>
    <row r="7" customFormat="false" ht="15" hidden="false" customHeight="true" outlineLevel="0" collapsed="false">
      <c r="A7" s="10"/>
      <c r="B7" s="10"/>
      <c r="C7" s="11" t="s">
        <v>18</v>
      </c>
      <c r="D7" s="10"/>
      <c r="E7" s="12" t="n">
        <f aca="false">SUM(E5:E6)</f>
        <v>726691112.40744</v>
      </c>
      <c r="F7" s="12" t="n">
        <f aca="false">SUM(F5:F6)</f>
        <v>87202933.4888928</v>
      </c>
      <c r="G7" s="12" t="n">
        <f aca="false">SUM(G5:G6)</f>
        <v>-27200000</v>
      </c>
      <c r="H7" s="12" t="n">
        <f aca="false">SUM(H5:H6)</f>
        <v>786694045.896333</v>
      </c>
      <c r="I7" s="13" t="n">
        <f aca="false">SUM(I5:I6)</f>
        <v>1</v>
      </c>
      <c r="J7" s="10"/>
    </row>
    <row r="9" customFormat="false" ht="15" hidden="false" customHeight="true" outlineLevel="0" collapsed="false">
      <c r="A9" s="14" t="s">
        <v>19</v>
      </c>
    </row>
  </sheetData>
  <hyperlinks>
    <hyperlink ref="D5" r:id="rId1" location="'ЛРВ-ТХ'!A1" display="ЛРВ-ТХ"/>
    <hyperlink ref="D6" r:id="rId2" location="'ЛРВ-ГП'!A1" display="ЛРВ-ГП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true" outlineLevel="0" max="1" min="1" style="1" width="30"/>
    <col collapsed="false" customWidth="true" hidden="false" outlineLevel="0" max="2" min="2" style="1" width="7"/>
    <col collapsed="false" customWidth="true" hidden="false" outlineLevel="0" max="3" min="3" style="1" width="6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24"/>
    <col collapsed="false" customWidth="true" hidden="true" outlineLevel="1" max="12" min="7" style="1" width="32"/>
  </cols>
  <sheetData>
    <row r="1" customFormat="false" ht="30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15" t="s">
        <v>26</v>
      </c>
      <c r="H1" s="15" t="s">
        <v>27</v>
      </c>
      <c r="I1" s="15" t="s">
        <v>28</v>
      </c>
      <c r="J1" s="15" t="s">
        <v>29</v>
      </c>
      <c r="K1" s="15" t="s">
        <v>30</v>
      </c>
      <c r="L1" s="15" t="s">
        <v>31</v>
      </c>
    </row>
    <row r="2" customFormat="false" ht="15" hidden="false" customHeight="true" outlineLevel="0" collapsed="false">
      <c r="A2" s="16" t="str">
        <f aca="false">C2&amp;D2</f>
        <v>ЗАТРАТЫ ТРУДА РАБОЧИХ-СТРОИТЕЛЕЙЧЕЛ-Ч</v>
      </c>
      <c r="B2" s="17"/>
      <c r="C2" s="6" t="s">
        <v>32</v>
      </c>
      <c r="D2" s="18" t="s">
        <v>33</v>
      </c>
      <c r="E2" s="19" t="n">
        <f aca="false">I2*J2</f>
        <v>45000</v>
      </c>
      <c r="F2" s="20" t="s">
        <v>34</v>
      </c>
      <c r="G2" s="20" t="s">
        <v>35</v>
      </c>
      <c r="H2" s="17" t="s">
        <v>33</v>
      </c>
      <c r="I2" s="21" t="n">
        <v>45000</v>
      </c>
      <c r="J2" s="22" t="n">
        <v>1</v>
      </c>
      <c r="K2" s="20" t="s">
        <v>36</v>
      </c>
      <c r="L2" s="23" t="s">
        <v>37</v>
      </c>
    </row>
    <row r="3" customFormat="false" ht="21.75" hidden="false" customHeight="true" outlineLevel="0" collapsed="false">
      <c r="A3" s="16" t="str">
        <f aca="false">C3&amp;D3</f>
        <v>ЗАТРАТЫ ТРУДА МАШИНИСТОВЧЕЛ-Ч</v>
      </c>
      <c r="B3" s="17"/>
      <c r="C3" s="6" t="s">
        <v>38</v>
      </c>
      <c r="D3" s="18" t="s">
        <v>33</v>
      </c>
      <c r="E3" s="19" t="n">
        <f aca="false">I3*J3</f>
        <v>0</v>
      </c>
      <c r="F3" s="20" t="s">
        <v>39</v>
      </c>
      <c r="G3" s="20" t="s">
        <v>40</v>
      </c>
      <c r="H3" s="17" t="s">
        <v>33</v>
      </c>
      <c r="I3" s="21" t="n">
        <v>0</v>
      </c>
      <c r="J3" s="22" t="n">
        <v>1</v>
      </c>
      <c r="K3" s="20" t="s">
        <v>41</v>
      </c>
      <c r="L3" s="23" t="s">
        <v>37</v>
      </c>
    </row>
    <row r="4" customFormat="false" ht="15" hidden="false" customHeight="true" outlineLevel="0" collapsed="false">
      <c r="A4" s="16" t="str">
        <f aca="false">C4&amp;D4</f>
        <v>ДОП.ПЕРЕМЕЩЕНИЕ РАБОЧИХ-СТРОИТЕЛЕЙ ПО ТРАССЕ ДО МЕСТА РАБОТЫЧЕЛ-Ч</v>
      </c>
      <c r="B4" s="17"/>
      <c r="C4" s="6" t="s">
        <v>42</v>
      </c>
      <c r="D4" s="18" t="s">
        <v>33</v>
      </c>
      <c r="E4" s="19" t="n">
        <f aca="false">I4*J4</f>
        <v>45000</v>
      </c>
      <c r="F4" s="20" t="s">
        <v>34</v>
      </c>
      <c r="G4" s="20" t="s">
        <v>35</v>
      </c>
      <c r="H4" s="17" t="s">
        <v>33</v>
      </c>
      <c r="I4" s="21" t="n">
        <v>45000</v>
      </c>
      <c r="J4" s="22" t="n">
        <v>1</v>
      </c>
      <c r="K4" s="20" t="s">
        <v>43</v>
      </c>
      <c r="L4" s="24" t="s">
        <v>44</v>
      </c>
    </row>
    <row r="5" customFormat="false" ht="15" hidden="false" customHeight="true" outlineLevel="0" collapsed="false">
      <c r="A5" s="16" t="str">
        <f aca="false">C5&amp;D5</f>
        <v>ДОП.ПЕРЕМЕЩЕНИЕ МАШИНИСТОВ ПО ТРАССЕ ДО МЕСТА РАБОТЫЧЕЛ-Ч</v>
      </c>
      <c r="B5" s="17"/>
      <c r="C5" s="6" t="s">
        <v>45</v>
      </c>
      <c r="D5" s="18" t="s">
        <v>33</v>
      </c>
      <c r="E5" s="19" t="n">
        <f aca="false">I5*J5</f>
        <v>0</v>
      </c>
      <c r="F5" s="20" t="s">
        <v>39</v>
      </c>
      <c r="G5" s="20" t="s">
        <v>40</v>
      </c>
      <c r="H5" s="17" t="s">
        <v>33</v>
      </c>
      <c r="I5" s="21" t="n">
        <v>0</v>
      </c>
      <c r="J5" s="22" t="n">
        <v>1</v>
      </c>
      <c r="K5" s="20" t="s">
        <v>46</v>
      </c>
      <c r="L5" s="23" t="s">
        <v>37</v>
      </c>
    </row>
    <row r="6" customFormat="false" ht="34.5" hidden="false" customHeight="true" outlineLevel="0" collapsed="false">
      <c r="A6" s="16" t="str">
        <f aca="false">C6&amp;D6</f>
        <v>ЭКСКАВАТОРЫ ОДНОКОВШОВЫЕ ДИЗЕЛЬНЫЕ НА ГУСЕНИЧНОМ ХОДУ ПРИ РАБОТЕ НА ДРУГИХ ВИДАХ СТРОИТЕЛЬСТВА (КРОМЕ ВОДОХОЗЯЙСТВЕННОГО) 0,65 М3МАШ-Ч</v>
      </c>
      <c r="B6" s="17"/>
      <c r="C6" s="6" t="s">
        <v>47</v>
      </c>
      <c r="D6" s="18" t="s">
        <v>48</v>
      </c>
      <c r="E6" s="19" t="n">
        <f aca="false">I6*J6</f>
        <v>420000</v>
      </c>
      <c r="F6" s="20" t="s">
        <v>34</v>
      </c>
      <c r="G6" s="20" t="s">
        <v>49</v>
      </c>
      <c r="H6" s="17" t="s">
        <v>48</v>
      </c>
      <c r="I6" s="21" t="n">
        <v>420000</v>
      </c>
      <c r="J6" s="22" t="n">
        <v>1</v>
      </c>
      <c r="K6" s="20" t="s">
        <v>50</v>
      </c>
      <c r="L6" s="24" t="s">
        <v>44</v>
      </c>
    </row>
    <row r="7" customFormat="false" ht="23.25" hidden="false" customHeight="true" outlineLevel="0" collapsed="false">
      <c r="A7" s="16" t="str">
        <f aca="false">C7&amp;D7</f>
        <v>БУЛЬДОЗЕРЫ ПРИ РАБОТЕ НА ДРУГИХ ВИДАХ СТРОИТЕЛЬСТВА (КРОМЕ ВОДОХОЗЯЙСТВЕННОГО) 79 (108) КВТ (Л.С.)МАШ-Ч</v>
      </c>
      <c r="B7" s="17"/>
      <c r="C7" s="6" t="s">
        <v>51</v>
      </c>
      <c r="D7" s="18" t="s">
        <v>48</v>
      </c>
      <c r="E7" s="19" t="n">
        <f aca="false">I7*J7</f>
        <v>380000</v>
      </c>
      <c r="F7" s="20" t="s">
        <v>34</v>
      </c>
      <c r="G7" s="20" t="s">
        <v>52</v>
      </c>
      <c r="H7" s="17" t="s">
        <v>48</v>
      </c>
      <c r="I7" s="21" t="n">
        <v>380000</v>
      </c>
      <c r="J7" s="22" t="n">
        <v>1</v>
      </c>
      <c r="K7" s="20" t="s">
        <v>53</v>
      </c>
      <c r="L7" s="24" t="s">
        <v>44</v>
      </c>
    </row>
    <row r="8" customFormat="false" ht="15" hidden="false" customHeight="true" outlineLevel="0" collapsed="false">
      <c r="A8" s="16" t="str">
        <f aca="false">C8&amp;D8</f>
        <v>КРАНЫ-ТРУБОУКЛАДЧИКИ ГРУЗОПОДЪЕМНОСТЬЮ 12 ТМАШ-Ч</v>
      </c>
      <c r="B8" s="17"/>
      <c r="C8" s="6" t="s">
        <v>54</v>
      </c>
      <c r="D8" s="18" t="s">
        <v>48</v>
      </c>
      <c r="E8" s="19" t="n">
        <f aca="false">I8*J8</f>
        <v>520000</v>
      </c>
      <c r="F8" s="20" t="s">
        <v>34</v>
      </c>
      <c r="G8" s="20" t="s">
        <v>55</v>
      </c>
      <c r="H8" s="17" t="s">
        <v>48</v>
      </c>
      <c r="I8" s="21" t="n">
        <v>520000</v>
      </c>
      <c r="J8" s="22" t="n">
        <v>1</v>
      </c>
      <c r="K8" s="20" t="s">
        <v>56</v>
      </c>
      <c r="L8" s="24" t="s">
        <v>44</v>
      </c>
    </row>
    <row r="9" customFormat="false" ht="15" hidden="false" customHeight="true" outlineLevel="0" collapsed="false">
      <c r="A9" s="16" t="str">
        <f aca="false">C9&amp;D9</f>
        <v>ЗАХВАТ КЛЕЩЕВОЙ АВТОМАТИЧЕСКИЙ КЗ-531 ГРУЗОПОДЪЕМНОСТЬЮ 4 ТМАШ-Ч</v>
      </c>
      <c r="B9" s="17"/>
      <c r="C9" s="6" t="s">
        <v>57</v>
      </c>
      <c r="D9" s="18" t="s">
        <v>48</v>
      </c>
      <c r="E9" s="19"/>
      <c r="F9" s="20"/>
      <c r="G9" s="20"/>
      <c r="H9" s="17"/>
      <c r="I9" s="21"/>
      <c r="J9" s="22"/>
      <c r="K9" s="20"/>
      <c r="L9" s="25" t="s">
        <v>58</v>
      </c>
    </row>
    <row r="10" customFormat="false" ht="23.25" hidden="false" customHeight="true" outlineLevel="0" collapsed="false">
      <c r="A10" s="16" t="str">
        <f aca="false">C10&amp;D10</f>
        <v>АГРЕГАТЫ СВАРОЧНЫЕ ДВУХПОСТОВЫЕ ДЛЯ РУЧНОЙ СВАРКИ НА ТРАКТОРЕ 79 КВТ (108 Л.С.)МАШ-Ч</v>
      </c>
      <c r="B10" s="17"/>
      <c r="C10" s="6" t="s">
        <v>59</v>
      </c>
      <c r="D10" s="18" t="s">
        <v>48</v>
      </c>
      <c r="E10" s="19" t="n">
        <f aca="false">I10*J10</f>
        <v>160000</v>
      </c>
      <c r="F10" s="20" t="s">
        <v>34</v>
      </c>
      <c r="G10" s="20" t="s">
        <v>60</v>
      </c>
      <c r="H10" s="17" t="s">
        <v>48</v>
      </c>
      <c r="I10" s="21" t="n">
        <v>160000</v>
      </c>
      <c r="J10" s="22" t="n">
        <v>1</v>
      </c>
      <c r="K10" s="20" t="s">
        <v>61</v>
      </c>
      <c r="L10" s="24" t="s">
        <v>44</v>
      </c>
    </row>
    <row r="11" customFormat="false" ht="15" hidden="false" customHeight="true" outlineLevel="0" collapsed="false">
      <c r="A11" s="16" t="str">
        <f aca="false">C11&amp;D11</f>
        <v>УСТАНОВКИ ГОРИЗОНТАЛЬНОГО БУРЕНИЯ ДЛЯ ТРУБ ДИАМЕТРОМ 325-630 МММАШ-Ч</v>
      </c>
      <c r="B11" s="17"/>
      <c r="C11" s="6" t="s">
        <v>62</v>
      </c>
      <c r="D11" s="18" t="s">
        <v>48</v>
      </c>
      <c r="E11" s="19" t="n">
        <f aca="false">I11*J11</f>
        <v>650000</v>
      </c>
      <c r="F11" s="20" t="s">
        <v>34</v>
      </c>
      <c r="G11" s="20" t="s">
        <v>63</v>
      </c>
      <c r="H11" s="17" t="s">
        <v>48</v>
      </c>
      <c r="I11" s="21" t="n">
        <v>650000</v>
      </c>
      <c r="J11" s="22" t="n">
        <v>1</v>
      </c>
      <c r="K11" s="20" t="s">
        <v>61</v>
      </c>
      <c r="L11" s="24" t="s">
        <v>44</v>
      </c>
    </row>
    <row r="12" customFormat="false" ht="15" hidden="false" customHeight="true" outlineLevel="0" collapsed="false">
      <c r="A12" s="16" t="str">
        <f aca="false">C12&amp;D12</f>
        <v>УСТАНОВКИ ДЛЯ ОТКРЫТОГО ВОДООТЛИВА НА БАЗЕ ТРАКТОРА 700 М3/ЧАСМАШ-Ч</v>
      </c>
      <c r="B12" s="17"/>
      <c r="C12" s="6" t="s">
        <v>64</v>
      </c>
      <c r="D12" s="18" t="s">
        <v>48</v>
      </c>
      <c r="E12" s="19" t="n">
        <f aca="false">I12*J12</f>
        <v>210000</v>
      </c>
      <c r="F12" s="20" t="s">
        <v>34</v>
      </c>
      <c r="G12" s="20" t="s">
        <v>65</v>
      </c>
      <c r="H12" s="17" t="s">
        <v>48</v>
      </c>
      <c r="I12" s="21" t="n">
        <v>210000</v>
      </c>
      <c r="J12" s="22" t="n">
        <v>1</v>
      </c>
      <c r="K12" s="20" t="s">
        <v>61</v>
      </c>
      <c r="L12" s="24" t="s">
        <v>44</v>
      </c>
    </row>
    <row r="13" customFormat="false" ht="15" hidden="false" customHeight="true" outlineLevel="0" collapsed="false">
      <c r="A13" s="16" t="str">
        <f aca="false">C13&amp;D13</f>
        <v>СПЕЦАВТОМАШИНЫ, ГРУЗОДОПОДЪЕМНОСТЬ ДО 8 Т, ВЕЗДЕХОДМАШ-Ч</v>
      </c>
      <c r="B13" s="17"/>
      <c r="C13" s="6" t="s">
        <v>66</v>
      </c>
      <c r="D13" s="18" t="s">
        <v>48</v>
      </c>
      <c r="E13" s="19" t="n">
        <f aca="false">I13*J13</f>
        <v>300000</v>
      </c>
      <c r="F13" s="20" t="s">
        <v>34</v>
      </c>
      <c r="G13" s="20" t="s">
        <v>67</v>
      </c>
      <c r="H13" s="17" t="s">
        <v>48</v>
      </c>
      <c r="I13" s="21" t="n">
        <v>300000</v>
      </c>
      <c r="J13" s="22" t="n">
        <v>1</v>
      </c>
      <c r="K13" s="20" t="s">
        <v>61</v>
      </c>
      <c r="L13" s="24" t="s">
        <v>44</v>
      </c>
    </row>
    <row r="14" customFormat="false" ht="15" hidden="false" customHeight="true" outlineLevel="0" collapsed="false">
      <c r="A14" s="16" t="str">
        <f aca="false">C14&amp;D14</f>
        <v>МАШИНЫ ШЛИФОВАЛЬНЫЕ ЭЛЕКТРИЧЕСКИЕМАШ-Ч</v>
      </c>
      <c r="B14" s="17"/>
      <c r="C14" s="6" t="s">
        <v>68</v>
      </c>
      <c r="D14" s="18" t="s">
        <v>48</v>
      </c>
      <c r="E14" s="19" t="n">
        <f aca="false">I14*J14</f>
        <v>8000</v>
      </c>
      <c r="F14" s="20" t="s">
        <v>34</v>
      </c>
      <c r="G14" s="20" t="s">
        <v>69</v>
      </c>
      <c r="H14" s="17" t="s">
        <v>48</v>
      </c>
      <c r="I14" s="21" t="n">
        <v>8000</v>
      </c>
      <c r="J14" s="22" t="n">
        <v>1</v>
      </c>
      <c r="K14" s="20" t="s">
        <v>36</v>
      </c>
      <c r="L14" s="23" t="s">
        <v>37</v>
      </c>
    </row>
    <row r="15" customFormat="false" ht="21.75" hidden="false" customHeight="true" outlineLevel="0" collapsed="false">
      <c r="A15" s="16" t="str">
        <f aca="false">C15&amp;D15</f>
        <v>ЩЕБЕНЬМ3</v>
      </c>
      <c r="B15" s="17"/>
      <c r="C15" s="6" t="s">
        <v>70</v>
      </c>
      <c r="D15" s="18" t="s">
        <v>71</v>
      </c>
      <c r="E15" s="19" t="n">
        <f aca="false">I15*J15</f>
        <v>203000</v>
      </c>
      <c r="F15" s="20" t="s">
        <v>34</v>
      </c>
      <c r="G15" s="20" t="s">
        <v>72</v>
      </c>
      <c r="H15" s="17" t="s">
        <v>73</v>
      </c>
      <c r="I15" s="21" t="n">
        <v>140000</v>
      </c>
      <c r="J15" s="22" t="n">
        <v>1.45</v>
      </c>
      <c r="K15" s="20" t="s">
        <v>74</v>
      </c>
      <c r="L15" s="24" t="s">
        <v>44</v>
      </c>
    </row>
    <row r="16" customFormat="false" ht="34.5" hidden="false" customHeight="true" outlineLevel="0" collapsed="false">
      <c r="A16" s="16" t="str">
        <f aca="false">C16&amp;D16</f>
        <v>ТРУБЫ СТАЛЬНЫЕ ЭЛЕКТРОСВАРНЫЕ ПРЯМОШОВНЫЕ СО СНЯТОЙ ФАСКОЙ ДИАМЕТРОМ ОТ 20 ДО 377 ММ ИЗ СТАЛИ МАРОК БСТ2КП-БСТ4КП И БСТ2ПС-БСТ4ПС НАРУЖНЫЙ ДИАМЕТР 325 ММ ТОЛЩИНА СТЕНКИ 6 МММ</v>
      </c>
      <c r="B16" s="17"/>
      <c r="C16" s="6" t="s">
        <v>75</v>
      </c>
      <c r="D16" s="18" t="s">
        <v>76</v>
      </c>
      <c r="E16" s="19" t="n">
        <f aca="false">I16*J16</f>
        <v>519420</v>
      </c>
      <c r="F16" s="20" t="s">
        <v>34</v>
      </c>
      <c r="G16" s="20" t="s">
        <v>77</v>
      </c>
      <c r="H16" s="17" t="s">
        <v>73</v>
      </c>
      <c r="I16" s="21" t="n">
        <v>11000000</v>
      </c>
      <c r="J16" s="22" t="n">
        <v>0.04722</v>
      </c>
      <c r="K16" s="20" t="s">
        <v>78</v>
      </c>
      <c r="L16" s="24" t="s">
        <v>44</v>
      </c>
    </row>
    <row r="17" customFormat="false" ht="34.5" hidden="false" customHeight="true" outlineLevel="0" collapsed="false">
      <c r="A17" s="16" t="str">
        <f aca="false">C17&amp;D17</f>
        <v>ТРУБЫ СТАЛЬНЫЕ ЭЛЕКТРОСВАРНЫЕ ПРЯМОШОВНЫЕ И СПИРАЛЬНО-ШОВНЫЕ БОЛЬШИХ ДИАМЕТРОВ ГРУППЫ А И Б С СОПРОТИВЛЕНИЕМ ПО РАЗРЫВУ 38 КГС/ММ2 НАРУЖНЫЙ ДИАМЕТР 530 ММ ТОЛЩИНА СТЕНКИ 8 МММ</v>
      </c>
      <c r="B17" s="17"/>
      <c r="C17" s="6" t="s">
        <v>79</v>
      </c>
      <c r="D17" s="18" t="s">
        <v>76</v>
      </c>
      <c r="E17" s="19" t="n">
        <f aca="false">I17*J17</f>
        <v>1184500</v>
      </c>
      <c r="F17" s="20" t="s">
        <v>34</v>
      </c>
      <c r="G17" s="20" t="s">
        <v>80</v>
      </c>
      <c r="H17" s="17" t="s">
        <v>73</v>
      </c>
      <c r="I17" s="21" t="n">
        <v>11500000</v>
      </c>
      <c r="J17" s="22" t="n">
        <v>0.103</v>
      </c>
      <c r="K17" s="20" t="s">
        <v>81</v>
      </c>
      <c r="L17" s="24" t="s">
        <v>44</v>
      </c>
    </row>
    <row r="18" customFormat="false" ht="15" hidden="false" customHeight="true" outlineLevel="0" collapsed="false">
      <c r="A18" s="16" t="str">
        <f aca="false">C18&amp;D18</f>
        <v>ЭЛЕКТРОДЫ С ОСНОВНЫМ ПОКРЫТИЕМ КЛАССА Э42А ДИАМЕТРОМ 2,5 ММТ</v>
      </c>
      <c r="B18" s="17"/>
      <c r="C18" s="6" t="s">
        <v>82</v>
      </c>
      <c r="D18" s="18" t="s">
        <v>73</v>
      </c>
      <c r="E18" s="19" t="n">
        <f aca="false">I18*J18</f>
        <v>16500000</v>
      </c>
      <c r="F18" s="20" t="s">
        <v>34</v>
      </c>
      <c r="G18" s="20" t="s">
        <v>83</v>
      </c>
      <c r="H18" s="17" t="s">
        <v>84</v>
      </c>
      <c r="I18" s="21" t="n">
        <v>16500</v>
      </c>
      <c r="J18" s="22" t="n">
        <v>1000</v>
      </c>
      <c r="K18" s="20" t="s">
        <v>85</v>
      </c>
      <c r="L18" s="24" t="s">
        <v>44</v>
      </c>
    </row>
    <row r="19" customFormat="false" ht="15" hidden="false" customHeight="true" outlineLevel="0" collapsed="false">
      <c r="A19" s="16" t="str">
        <f aca="false">C19&amp;D19</f>
        <v>ЭЛЕКТРОДЫ С ОСНОВНЫМ ПОКРЫТИЕМ КЛАССА Э50А ДИАМЕТРОМ 4 ММТ</v>
      </c>
      <c r="B19" s="17"/>
      <c r="C19" s="6" t="s">
        <v>86</v>
      </c>
      <c r="D19" s="18" t="s">
        <v>73</v>
      </c>
      <c r="E19" s="19" t="n">
        <f aca="false">I19*J19</f>
        <v>15000000</v>
      </c>
      <c r="F19" s="20" t="s">
        <v>34</v>
      </c>
      <c r="G19" s="20" t="s">
        <v>87</v>
      </c>
      <c r="H19" s="17" t="s">
        <v>73</v>
      </c>
      <c r="I19" s="21" t="n">
        <v>15000000</v>
      </c>
      <c r="J19" s="22" t="n">
        <v>1</v>
      </c>
      <c r="K19" s="20" t="s">
        <v>61</v>
      </c>
      <c r="L19" s="24" t="s">
        <v>44</v>
      </c>
    </row>
    <row r="20" customFormat="false" ht="15" hidden="false" customHeight="true" outlineLevel="0" collapsed="false">
      <c r="A20" s="16" t="str">
        <f aca="false">C20&amp;D20</f>
        <v>ГРУНТОВКА ГТ-752Т</v>
      </c>
      <c r="B20" s="17"/>
      <c r="C20" s="6" t="s">
        <v>88</v>
      </c>
      <c r="D20" s="18" t="s">
        <v>73</v>
      </c>
      <c r="E20" s="19" t="n">
        <f aca="false">I20*J20</f>
        <v>28000000</v>
      </c>
      <c r="F20" s="20" t="s">
        <v>34</v>
      </c>
      <c r="G20" s="20" t="s">
        <v>89</v>
      </c>
      <c r="H20" s="17" t="s">
        <v>84</v>
      </c>
      <c r="I20" s="21" t="n">
        <v>28000</v>
      </c>
      <c r="J20" s="22" t="n">
        <v>1000</v>
      </c>
      <c r="K20" s="20" t="s">
        <v>85</v>
      </c>
      <c r="L20" s="24" t="s">
        <v>44</v>
      </c>
    </row>
    <row r="21" customFormat="false" ht="23.25" hidden="false" customHeight="true" outlineLevel="0" collapsed="false">
      <c r="A21" s="16" t="str">
        <f aca="false">C21&amp;D21</f>
        <v>ЛЕНТА ПОЛИВИНИЛХЛОРИДНАЯ ДЛЯ ИЗОЛЯЦИИ ГАЗОНЕФТЕПРО-ДУКТОПРОВОДОВ ПВХ-БК (ЛИПКАЯ), ТОЛЩИНОЙ 0.4 МММ2</v>
      </c>
      <c r="B21" s="17"/>
      <c r="C21" s="6" t="s">
        <v>90</v>
      </c>
      <c r="D21" s="18" t="s">
        <v>91</v>
      </c>
      <c r="E21" s="19" t="n">
        <f aca="false">I21*J21</f>
        <v>9500</v>
      </c>
      <c r="F21" s="20" t="s">
        <v>34</v>
      </c>
      <c r="G21" s="20" t="s">
        <v>92</v>
      </c>
      <c r="H21" s="17" t="s">
        <v>91</v>
      </c>
      <c r="I21" s="21" t="n">
        <v>9500</v>
      </c>
      <c r="J21" s="22" t="n">
        <v>1</v>
      </c>
      <c r="K21" s="20" t="s">
        <v>61</v>
      </c>
      <c r="L21" s="24" t="s">
        <v>44</v>
      </c>
    </row>
    <row r="22" customFormat="false" ht="15" hidden="false" customHeight="true" outlineLevel="0" collapsed="false">
      <c r="A22" s="16" t="str">
        <f aca="false">C22&amp;D22</f>
        <v>ПЛЕНКА ОБЕРТОЧНАЯ ПЭКОМ ТОЛЩИНОЙ 0.6 МММ2</v>
      </c>
      <c r="B22" s="17"/>
      <c r="C22" s="6" t="s">
        <v>93</v>
      </c>
      <c r="D22" s="18" t="s">
        <v>91</v>
      </c>
      <c r="E22" s="19" t="n">
        <f aca="false">I22*J22</f>
        <v>7800</v>
      </c>
      <c r="F22" s="20" t="s">
        <v>34</v>
      </c>
      <c r="G22" s="20" t="s">
        <v>94</v>
      </c>
      <c r="H22" s="17" t="s">
        <v>91</v>
      </c>
      <c r="I22" s="21" t="n">
        <v>7800</v>
      </c>
      <c r="J22" s="22" t="n">
        <v>1</v>
      </c>
      <c r="K22" s="20" t="s">
        <v>61</v>
      </c>
      <c r="L22" s="24" t="s">
        <v>44</v>
      </c>
    </row>
    <row r="23" customFormat="false" ht="15" hidden="false" customHeight="true" outlineLevel="0" collapsed="false">
      <c r="A23" s="16" t="str">
        <f aca="false">C23&amp;D23</f>
        <v>ШЛИФКРУГИШТ</v>
      </c>
      <c r="B23" s="17"/>
      <c r="C23" s="6" t="s">
        <v>95</v>
      </c>
      <c r="D23" s="18" t="s">
        <v>96</v>
      </c>
      <c r="E23" s="19" t="n">
        <f aca="false">I23*J23</f>
        <v>25000</v>
      </c>
      <c r="F23" s="20" t="s">
        <v>34</v>
      </c>
      <c r="G23" s="20" t="s">
        <v>97</v>
      </c>
      <c r="H23" s="17" t="s">
        <v>96</v>
      </c>
      <c r="I23" s="21" t="n">
        <v>25000</v>
      </c>
      <c r="J23" s="22" t="n">
        <v>1</v>
      </c>
      <c r="K23" s="20" t="s">
        <v>61</v>
      </c>
      <c r="L23" s="24" t="s">
        <v>44</v>
      </c>
    </row>
    <row r="24" customFormat="false" ht="23.25" hidden="false" customHeight="true" outlineLevel="0" collapsed="false">
      <c r="A24" s="16" t="str">
        <f aca="false">C24&amp;D24</f>
        <v>ПИЛОМАТЕРИАЛЫ ХВОЙНЫХ ПОРОД. БРУСЬЯ ОБРЕЗНЫЕ ДЛИНОЙ 4-6.5М, ШИРИНОЙ 75-150 ММ, ТОЛЩИНОЙ 150 ММ И БОЛЕЕ III СОРТАМ3</v>
      </c>
      <c r="B24" s="17"/>
      <c r="C24" s="6" t="s">
        <v>98</v>
      </c>
      <c r="D24" s="18" t="s">
        <v>71</v>
      </c>
      <c r="E24" s="19" t="n">
        <f aca="false">I24*J24</f>
        <v>3200000</v>
      </c>
      <c r="F24" s="20" t="s">
        <v>34</v>
      </c>
      <c r="G24" s="20" t="s">
        <v>99</v>
      </c>
      <c r="H24" s="17" t="s">
        <v>71</v>
      </c>
      <c r="I24" s="21" t="n">
        <v>3200000</v>
      </c>
      <c r="J24" s="22" t="n">
        <v>1</v>
      </c>
      <c r="K24" s="20" t="s">
        <v>61</v>
      </c>
      <c r="L24" s="24" t="s">
        <v>44</v>
      </c>
    </row>
    <row r="25" customFormat="false" ht="15" hidden="false" customHeight="true" outlineLevel="0" collapsed="false">
      <c r="A25" s="16" t="str">
        <f aca="false">C25&amp;D25</f>
        <v>ЩЕТКИ КОЛЬЦЕВЫЕ ПРОВОЛОЧНЫЕШТ</v>
      </c>
      <c r="B25" s="17"/>
      <c r="C25" s="6" t="s">
        <v>100</v>
      </c>
      <c r="D25" s="18" t="s">
        <v>96</v>
      </c>
      <c r="E25" s="19" t="n">
        <f aca="false">I25*J25</f>
        <v>35000</v>
      </c>
      <c r="F25" s="20" t="s">
        <v>34</v>
      </c>
      <c r="G25" s="20" t="s">
        <v>101</v>
      </c>
      <c r="H25" s="17" t="s">
        <v>96</v>
      </c>
      <c r="I25" s="21" t="n">
        <v>35000</v>
      </c>
      <c r="J25" s="22" t="n">
        <v>1</v>
      </c>
      <c r="K25" s="20" t="s">
        <v>36</v>
      </c>
      <c r="L25" s="23" t="s">
        <v>37</v>
      </c>
    </row>
    <row r="26" customFormat="false" ht="15" hidden="false" customHeight="true" outlineLevel="0" collapsed="false">
      <c r="A26" s="16" t="str">
        <f aca="false">C26&amp;D26</f>
        <v>КРАН ШАРОВОЙ ДУ500 РУ8,0 МПА ПОДЗЕМНОЙ УСТАНОВКИШТ</v>
      </c>
      <c r="B26" s="17" t="s">
        <v>102</v>
      </c>
      <c r="C26" s="6" t="s">
        <v>103</v>
      </c>
      <c r="D26" s="18" t="s">
        <v>96</v>
      </c>
      <c r="E26" s="19" t="n">
        <f aca="false">I26*J26</f>
        <v>185000000</v>
      </c>
      <c r="F26" s="20" t="s">
        <v>34</v>
      </c>
      <c r="G26" s="20" t="s">
        <v>104</v>
      </c>
      <c r="H26" s="17" t="s">
        <v>96</v>
      </c>
      <c r="I26" s="21" t="n">
        <v>185000000</v>
      </c>
      <c r="J26" s="22" t="n">
        <v>1</v>
      </c>
      <c r="K26" s="20" t="s">
        <v>36</v>
      </c>
      <c r="L26" s="23" t="s">
        <v>37</v>
      </c>
    </row>
    <row r="27" customFormat="false" ht="15" hidden="false" customHeight="true" outlineLevel="0" collapsed="false">
      <c r="A27" s="16" t="str">
        <f aca="false">C27&amp;D27</f>
        <v>КАБЕЛЬ ВВГНГ(А)-LS 3Х2,5М</v>
      </c>
      <c r="B27" s="17" t="s">
        <v>105</v>
      </c>
      <c r="C27" s="6" t="s">
        <v>106</v>
      </c>
      <c r="D27" s="18" t="s">
        <v>76</v>
      </c>
      <c r="E27" s="19" t="n">
        <f aca="false">I27*J27</f>
        <v>12500</v>
      </c>
      <c r="F27" s="20" t="s">
        <v>34</v>
      </c>
      <c r="G27" s="20" t="s">
        <v>107</v>
      </c>
      <c r="H27" s="17" t="s">
        <v>76</v>
      </c>
      <c r="I27" s="21" t="n">
        <v>12500</v>
      </c>
      <c r="J27" s="22" t="n">
        <v>1</v>
      </c>
      <c r="K27" s="20" t="s">
        <v>36</v>
      </c>
      <c r="L27" s="23" t="s">
        <v>37</v>
      </c>
    </row>
    <row r="28" customFormat="false" ht="15" hidden="false" customHeight="true" outlineLevel="0" collapsed="false">
      <c r="A28" s="16" t="str">
        <f aca="false">C28&amp;D28</f>
        <v>ОТВОД ГНУТЫЙ 30° 530Х8ШТ</v>
      </c>
      <c r="B28" s="17" t="s">
        <v>108</v>
      </c>
      <c r="C28" s="6" t="s">
        <v>109</v>
      </c>
      <c r="D28" s="18" t="s">
        <v>96</v>
      </c>
      <c r="E28" s="19" t="n">
        <f aca="false">I28*J28</f>
        <v>6800000</v>
      </c>
      <c r="F28" s="20" t="s">
        <v>34</v>
      </c>
      <c r="G28" s="20" t="s">
        <v>110</v>
      </c>
      <c r="H28" s="17" t="s">
        <v>96</v>
      </c>
      <c r="I28" s="21" t="n">
        <v>6800000</v>
      </c>
      <c r="J28" s="22" t="n">
        <v>1</v>
      </c>
      <c r="K28" s="20" t="s">
        <v>36</v>
      </c>
      <c r="L28" s="23" t="s">
        <v>37</v>
      </c>
    </row>
    <row r="30" customFormat="false" ht="32.25" hidden="false" customHeight="true" outlineLevel="0" collapsed="false">
      <c r="C30" s="2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0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46"/>
  </cols>
  <sheetData>
    <row r="1" customFormat="false" ht="15" hidden="false" customHeight="true" outlineLevel="0" collapsed="false">
      <c r="A1" s="2" t="s">
        <v>112</v>
      </c>
    </row>
    <row r="2" customFormat="false" ht="15" hidden="false" customHeight="true" outlineLevel="0" collapsed="false">
      <c r="A2" s="3" t="s">
        <v>113</v>
      </c>
    </row>
    <row r="4" customFormat="false" ht="15" hidden="false" customHeight="true" outlineLevel="0" collapsed="false">
      <c r="A4" s="4" t="s">
        <v>2</v>
      </c>
      <c r="B4" s="4" t="s">
        <v>114</v>
      </c>
      <c r="C4" s="4" t="s">
        <v>115</v>
      </c>
      <c r="D4" s="4" t="s">
        <v>116</v>
      </c>
      <c r="E4" s="4" t="s">
        <v>117</v>
      </c>
      <c r="F4" s="4" t="s">
        <v>11</v>
      </c>
    </row>
    <row r="5" customFormat="false" ht="15" hidden="false" customHeight="true" outlineLevel="0" collapsed="false">
      <c r="A5" s="27" t="s">
        <v>118</v>
      </c>
      <c r="B5" s="27"/>
      <c r="C5" s="27"/>
      <c r="D5" s="27"/>
      <c r="E5" s="27"/>
      <c r="F5" s="27"/>
    </row>
    <row r="6" customFormat="false" ht="15" hidden="false" customHeight="true" outlineLevel="0" collapsed="false">
      <c r="A6" s="28" t="s">
        <v>119</v>
      </c>
      <c r="B6" s="28"/>
      <c r="C6" s="28"/>
      <c r="D6" s="28"/>
      <c r="E6" s="28"/>
      <c r="F6" s="28"/>
    </row>
    <row r="7" customFormat="false" ht="23.25" hidden="false" customHeight="true" outlineLevel="0" collapsed="false">
      <c r="A7" s="5" t="s">
        <v>120</v>
      </c>
      <c r="B7" s="6" t="s">
        <v>121</v>
      </c>
      <c r="C7" s="5" t="s">
        <v>122</v>
      </c>
      <c r="D7" s="29" t="n">
        <v>3</v>
      </c>
      <c r="E7" s="6" t="s">
        <v>123</v>
      </c>
      <c r="F7" s="30" t="s">
        <v>124</v>
      </c>
    </row>
    <row r="8" customFormat="false" ht="15" hidden="false" customHeight="true" outlineLevel="0" collapsed="false">
      <c r="A8" s="28" t="s">
        <v>125</v>
      </c>
      <c r="B8" s="28"/>
      <c r="C8" s="28"/>
      <c r="D8" s="28"/>
      <c r="E8" s="28"/>
      <c r="F8" s="28"/>
    </row>
    <row r="9" customFormat="false" ht="15" hidden="false" customHeight="true" outlineLevel="0" collapsed="false">
      <c r="A9" s="5" t="s">
        <v>126</v>
      </c>
      <c r="B9" s="6" t="s">
        <v>127</v>
      </c>
      <c r="C9" s="5" t="s">
        <v>122</v>
      </c>
      <c r="D9" s="29" t="n">
        <v>4</v>
      </c>
      <c r="E9" s="6" t="s">
        <v>128</v>
      </c>
      <c r="F9" s="6" t="s">
        <v>129</v>
      </c>
    </row>
    <row r="10" customFormat="false" ht="15" hidden="false" customHeight="true" outlineLevel="0" collapsed="false">
      <c r="A10" s="5" t="s">
        <v>130</v>
      </c>
      <c r="B10" s="6" t="s">
        <v>131</v>
      </c>
      <c r="C10" s="5" t="s">
        <v>132</v>
      </c>
      <c r="D10" s="29" t="n">
        <v>30.3</v>
      </c>
      <c r="E10" s="6" t="s">
        <v>133</v>
      </c>
      <c r="F10" s="6" t="s">
        <v>134</v>
      </c>
    </row>
    <row r="11" customFormat="false" ht="15" hidden="false" customHeight="true" outlineLevel="0" collapsed="false">
      <c r="A11" s="28" t="s">
        <v>135</v>
      </c>
      <c r="B11" s="28"/>
      <c r="C11" s="28"/>
      <c r="D11" s="28"/>
      <c r="E11" s="28"/>
      <c r="F11" s="28"/>
    </row>
    <row r="12" customFormat="false" ht="15" hidden="false" customHeight="true" outlineLevel="0" collapsed="false">
      <c r="A12" s="5" t="s">
        <v>136</v>
      </c>
      <c r="B12" s="6" t="s">
        <v>137</v>
      </c>
      <c r="C12" s="5" t="s">
        <v>132</v>
      </c>
      <c r="D12" s="29" t="n">
        <v>150</v>
      </c>
      <c r="E12" s="6" t="s">
        <v>138</v>
      </c>
      <c r="F12" s="6" t="s">
        <v>139</v>
      </c>
    </row>
    <row r="13" customFormat="false" ht="15" hidden="false" customHeight="true" outlineLevel="0" collapsed="false">
      <c r="A13" s="27" t="s">
        <v>140</v>
      </c>
      <c r="B13" s="27"/>
      <c r="C13" s="27"/>
      <c r="D13" s="27"/>
      <c r="E13" s="27"/>
      <c r="F13" s="27"/>
    </row>
    <row r="14" customFormat="false" ht="15" hidden="false" customHeight="true" outlineLevel="0" collapsed="false">
      <c r="A14" s="28" t="s">
        <v>141</v>
      </c>
      <c r="B14" s="28"/>
      <c r="C14" s="28"/>
      <c r="D14" s="28"/>
      <c r="E14" s="28"/>
      <c r="F14" s="28"/>
    </row>
    <row r="15" customFormat="false" ht="15" hidden="false" customHeight="true" outlineLevel="0" collapsed="false">
      <c r="A15" s="5" t="s">
        <v>142</v>
      </c>
      <c r="B15" s="6" t="s">
        <v>143</v>
      </c>
      <c r="C15" s="5" t="s">
        <v>144</v>
      </c>
      <c r="D15" s="29" t="n">
        <v>0.05</v>
      </c>
      <c r="E15" s="6" t="s">
        <v>133</v>
      </c>
      <c r="F15" s="6" t="s">
        <v>145</v>
      </c>
    </row>
  </sheetData>
  <mergeCells count="6">
    <mergeCell ref="A5:F5"/>
    <mergeCell ref="A6:F6"/>
    <mergeCell ref="A8:F8"/>
    <mergeCell ref="A11:F11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52"/>
  </cols>
  <sheetData>
    <row r="1" customFormat="false" ht="15" hidden="false" customHeight="true" outlineLevel="0" collapsed="false">
      <c r="A1" s="2" t="s">
        <v>146</v>
      </c>
    </row>
    <row r="2" customFormat="false" ht="15" hidden="false" customHeight="true" outlineLevel="0" collapsed="false">
      <c r="A2" s="3" t="s">
        <v>147</v>
      </c>
    </row>
    <row r="4" customFormat="false" ht="15" hidden="false" customHeight="true" outlineLevel="0" collapsed="false">
      <c r="A4" s="4" t="s">
        <v>2</v>
      </c>
      <c r="B4" s="4" t="s">
        <v>148</v>
      </c>
      <c r="C4" s="4" t="s">
        <v>115</v>
      </c>
      <c r="D4" s="4" t="s">
        <v>116</v>
      </c>
      <c r="E4" s="4" t="s">
        <v>149</v>
      </c>
      <c r="F4" s="4" t="s">
        <v>11</v>
      </c>
    </row>
    <row r="5" customFormat="false" ht="15" hidden="false" customHeight="true" outlineLevel="0" collapsed="false">
      <c r="A5" s="27" t="s">
        <v>118</v>
      </c>
      <c r="B5" s="27"/>
      <c r="C5" s="27"/>
      <c r="D5" s="27"/>
      <c r="E5" s="27"/>
      <c r="F5" s="27"/>
    </row>
    <row r="6" customFormat="false" ht="15" hidden="false" customHeight="true" outlineLevel="0" collapsed="false">
      <c r="A6" s="28" t="s">
        <v>150</v>
      </c>
      <c r="B6" s="28"/>
      <c r="C6" s="28"/>
      <c r="D6" s="28"/>
      <c r="E6" s="28"/>
      <c r="F6" s="28"/>
    </row>
    <row r="7" customFormat="false" ht="23.25" hidden="false" customHeight="true" outlineLevel="0" collapsed="false">
      <c r="A7" s="5" t="s">
        <v>120</v>
      </c>
      <c r="B7" s="6" t="s">
        <v>151</v>
      </c>
      <c r="C7" s="5" t="s">
        <v>152</v>
      </c>
      <c r="D7" s="29" t="n">
        <v>1</v>
      </c>
      <c r="E7" s="6" t="s">
        <v>153</v>
      </c>
      <c r="F7" s="6" t="s">
        <v>154</v>
      </c>
    </row>
    <row r="8" customFormat="false" ht="15" hidden="false" customHeight="true" outlineLevel="0" collapsed="false">
      <c r="A8" s="28" t="s">
        <v>155</v>
      </c>
      <c r="B8" s="28"/>
      <c r="C8" s="28"/>
      <c r="D8" s="28"/>
      <c r="E8" s="28"/>
      <c r="F8" s="28"/>
    </row>
    <row r="9" customFormat="false" ht="34.5" hidden="false" customHeight="true" outlineLevel="0" collapsed="false">
      <c r="A9" s="5" t="s">
        <v>126</v>
      </c>
      <c r="B9" s="6" t="s">
        <v>156</v>
      </c>
      <c r="C9" s="5" t="s">
        <v>122</v>
      </c>
      <c r="D9" s="29" t="n">
        <f aca="false">Спецификация!D7</f>
        <v>3</v>
      </c>
      <c r="E9" s="6" t="s">
        <v>157</v>
      </c>
      <c r="F9" s="30" t="s">
        <v>158</v>
      </c>
    </row>
    <row r="10" customFormat="false" ht="15" hidden="false" customHeight="true" outlineLevel="0" collapsed="false">
      <c r="A10" s="27" t="s">
        <v>140</v>
      </c>
      <c r="B10" s="27"/>
      <c r="C10" s="27"/>
      <c r="D10" s="27"/>
      <c r="E10" s="27"/>
      <c r="F10" s="27"/>
    </row>
    <row r="11" customFormat="false" ht="15" hidden="false" customHeight="true" outlineLevel="0" collapsed="false">
      <c r="A11" s="28" t="s">
        <v>159</v>
      </c>
      <c r="B11" s="28"/>
      <c r="C11" s="28"/>
      <c r="D11" s="28"/>
      <c r="E11" s="28"/>
      <c r="F11" s="28"/>
    </row>
    <row r="12" customFormat="false" ht="23.25" hidden="false" customHeight="true" outlineLevel="0" collapsed="false">
      <c r="A12" s="5" t="s">
        <v>130</v>
      </c>
      <c r="B12" s="6" t="s">
        <v>160</v>
      </c>
      <c r="C12" s="5" t="s">
        <v>144</v>
      </c>
      <c r="D12" s="29" t="n">
        <v>1250</v>
      </c>
      <c r="E12" s="6" t="s">
        <v>161</v>
      </c>
      <c r="F12" s="6" t="s">
        <v>162</v>
      </c>
    </row>
    <row r="14" customFormat="false" ht="15" hidden="false" customHeight="true" outlineLevel="0" collapsed="false">
      <c r="A14" s="31" t="s">
        <v>163</v>
      </c>
    </row>
    <row r="15" customFormat="false" ht="15" hidden="false" customHeight="true" outlineLevel="0" collapsed="false">
      <c r="A15" s="32" t="s">
        <v>164</v>
      </c>
    </row>
    <row r="16" customFormat="false" ht="15" hidden="false" customHeight="true" outlineLevel="0" collapsed="false">
      <c r="A16" s="32" t="s">
        <v>165</v>
      </c>
    </row>
    <row r="17" customFormat="false" ht="15" hidden="false" customHeight="true" outlineLevel="0" collapsed="false">
      <c r="A17" s="32" t="s">
        <v>166</v>
      </c>
    </row>
    <row r="19" customFormat="false" ht="15" hidden="false" customHeight="true" outlineLevel="0" collapsed="false">
      <c r="A19" s="33" t="s">
        <v>167</v>
      </c>
    </row>
    <row r="20" customFormat="false" ht="15" hidden="false" customHeight="true" outlineLevel="0" collapsed="false">
      <c r="A20" s="4" t="s">
        <v>2</v>
      </c>
      <c r="B20" s="4" t="s">
        <v>168</v>
      </c>
      <c r="C20" s="4" t="s">
        <v>169</v>
      </c>
      <c r="D20" s="4"/>
      <c r="E20" s="4" t="s">
        <v>170</v>
      </c>
      <c r="F20" s="4" t="s">
        <v>31</v>
      </c>
    </row>
    <row r="21" customFormat="false" ht="15" hidden="false" customHeight="true" outlineLevel="0" collapsed="false">
      <c r="A21" s="5" t="n">
        <v>1</v>
      </c>
      <c r="B21" s="6" t="s">
        <v>171</v>
      </c>
      <c r="C21" s="6" t="s">
        <v>172</v>
      </c>
      <c r="D21" s="6"/>
      <c r="E21" s="6" t="s">
        <v>173</v>
      </c>
      <c r="F21" s="30" t="s">
        <v>174</v>
      </c>
    </row>
  </sheetData>
  <mergeCells count="5">
    <mergeCell ref="A5:F5"/>
    <mergeCell ref="A6:F6"/>
    <mergeCell ref="A8:F8"/>
    <mergeCell ref="A10:F10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82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16"/>
    <col collapsed="false" customWidth="true" hidden="false" outlineLevel="0" max="9" min="9" style="1" width="40"/>
  </cols>
  <sheetData>
    <row r="1" customFormat="false" ht="15" hidden="false" customHeight="true" outlineLevel="0" collapsed="false">
      <c r="A1" s="34" t="s">
        <v>175</v>
      </c>
      <c r="B1" s="34" t="s">
        <v>176</v>
      </c>
      <c r="C1" s="34" t="s">
        <v>177</v>
      </c>
      <c r="D1" s="34" t="s">
        <v>23</v>
      </c>
      <c r="E1" s="34" t="s">
        <v>178</v>
      </c>
      <c r="F1" s="34"/>
      <c r="G1" s="34" t="s">
        <v>179</v>
      </c>
      <c r="H1" s="34"/>
      <c r="I1" s="34" t="s">
        <v>11</v>
      </c>
    </row>
    <row r="2" customFormat="false" ht="30" hidden="false" customHeight="true" outlineLevel="0" collapsed="false">
      <c r="A2" s="34"/>
      <c r="B2" s="34"/>
      <c r="C2" s="34"/>
      <c r="D2" s="34"/>
      <c r="E2" s="34" t="s">
        <v>180</v>
      </c>
      <c r="F2" s="34" t="s">
        <v>181</v>
      </c>
      <c r="G2" s="34" t="s">
        <v>182</v>
      </c>
      <c r="H2" s="34" t="s">
        <v>183</v>
      </c>
      <c r="I2" s="34"/>
    </row>
    <row r="3" customFormat="false" ht="15" hidden="false" customHeight="true" outlineLevel="0" collapsed="false">
      <c r="A3" s="35" t="n">
        <v>1</v>
      </c>
      <c r="B3" s="35" t="n">
        <v>2</v>
      </c>
      <c r="C3" s="35" t="n">
        <v>3</v>
      </c>
      <c r="D3" s="35" t="n">
        <v>4</v>
      </c>
      <c r="E3" s="35" t="n">
        <v>5</v>
      </c>
      <c r="F3" s="35" t="n">
        <v>6</v>
      </c>
      <c r="G3" s="35" t="n">
        <v>7</v>
      </c>
      <c r="H3" s="35" t="n">
        <v>8</v>
      </c>
      <c r="I3" s="35" t="n">
        <v>9</v>
      </c>
    </row>
    <row r="4" customFormat="false" ht="15" hidden="false" customHeight="true" outlineLevel="0" collapsed="false">
      <c r="A4" s="36" t="s">
        <v>184</v>
      </c>
      <c r="B4" s="36"/>
      <c r="C4" s="36"/>
      <c r="D4" s="36"/>
      <c r="E4" s="36"/>
      <c r="F4" s="36"/>
      <c r="G4" s="37"/>
      <c r="H4" s="37"/>
      <c r="I4" s="38"/>
    </row>
    <row r="5" customFormat="false" ht="34.5" hidden="false" customHeight="true" outlineLevel="0" collapsed="false">
      <c r="A5" s="39" t="n">
        <v>1</v>
      </c>
      <c r="B5" s="40" t="s">
        <v>153</v>
      </c>
      <c r="C5" s="41" t="s">
        <v>185</v>
      </c>
      <c r="D5" s="41" t="s">
        <v>186</v>
      </c>
      <c r="E5" s="42" t="n">
        <f aca="false">ВОР!D7</f>
        <v>1</v>
      </c>
      <c r="F5" s="43"/>
      <c r="G5" s="43"/>
      <c r="H5" s="43"/>
      <c r="I5" s="38"/>
    </row>
    <row r="6" customFormat="false" ht="15" hidden="false" customHeight="true" outlineLevel="0" collapsed="false">
      <c r="A6" s="44" t="s">
        <v>187</v>
      </c>
      <c r="B6" s="45" t="s">
        <v>120</v>
      </c>
      <c r="C6" s="46" t="s">
        <v>32</v>
      </c>
      <c r="D6" s="45" t="s">
        <v>33</v>
      </c>
      <c r="E6" s="47" t="n">
        <v>79.93</v>
      </c>
      <c r="F6" s="47" t="n">
        <f aca="false">+E6*$E$5</f>
        <v>79.93</v>
      </c>
      <c r="G6" s="48" t="n">
        <f aca="false">+VLOOKUP(C6&amp;D6,Ресурсы!A:E,5,0)</f>
        <v>45000</v>
      </c>
      <c r="H6" s="48" t="n">
        <f aca="false">+F6*G6</f>
        <v>3596850</v>
      </c>
      <c r="I6" s="38"/>
    </row>
    <row r="7" customFormat="false" ht="15" hidden="false" customHeight="true" outlineLevel="0" collapsed="false">
      <c r="A7" s="44" t="s">
        <v>188</v>
      </c>
      <c r="B7" s="45" t="s">
        <v>126</v>
      </c>
      <c r="C7" s="46" t="s">
        <v>38</v>
      </c>
      <c r="D7" s="45" t="s">
        <v>33</v>
      </c>
      <c r="E7" s="47" t="n">
        <v>95.53</v>
      </c>
      <c r="F7" s="47" t="n">
        <f aca="false">+E7*$E$5</f>
        <v>95.53</v>
      </c>
      <c r="G7" s="48" t="n">
        <f aca="false">+VLOOKUP(C7&amp;D7,Ресурсы!A:E,5,0)</f>
        <v>0</v>
      </c>
      <c r="H7" s="48" t="n">
        <f aca="false">+F7*G7</f>
        <v>0</v>
      </c>
      <c r="I7" s="38"/>
    </row>
    <row r="8" customFormat="false" ht="15" hidden="false" customHeight="true" outlineLevel="0" collapsed="false">
      <c r="A8" s="44" t="s">
        <v>189</v>
      </c>
      <c r="B8" s="45" t="s">
        <v>190</v>
      </c>
      <c r="C8" s="46" t="s">
        <v>42</v>
      </c>
      <c r="D8" s="45" t="s">
        <v>33</v>
      </c>
      <c r="E8" s="47" t="n">
        <v>9.99</v>
      </c>
      <c r="F8" s="47" t="n">
        <f aca="false">+E8*$E$5</f>
        <v>9.99</v>
      </c>
      <c r="G8" s="48" t="n">
        <f aca="false">+VLOOKUP(C8&amp;D8,Ресурсы!A:E,5,0)</f>
        <v>45000</v>
      </c>
      <c r="H8" s="48" t="n">
        <f aca="false">+F8*G8</f>
        <v>449550</v>
      </c>
      <c r="I8" s="38"/>
    </row>
    <row r="9" customFormat="false" ht="15" hidden="false" customHeight="true" outlineLevel="0" collapsed="false">
      <c r="A9" s="44" t="s">
        <v>191</v>
      </c>
      <c r="B9" s="45" t="s">
        <v>192</v>
      </c>
      <c r="C9" s="46" t="s">
        <v>45</v>
      </c>
      <c r="D9" s="45" t="s">
        <v>33</v>
      </c>
      <c r="E9" s="47" t="n">
        <v>11.94</v>
      </c>
      <c r="F9" s="47" t="n">
        <f aca="false">+E9*$E$5</f>
        <v>11.94</v>
      </c>
      <c r="G9" s="48" t="n">
        <f aca="false">+VLOOKUP(C9&amp;D9,Ресурсы!A:E,5,0)</f>
        <v>0</v>
      </c>
      <c r="H9" s="48" t="n">
        <f aca="false">+F9*G9</f>
        <v>0</v>
      </c>
      <c r="I9" s="38"/>
    </row>
    <row r="10" customFormat="false" ht="15" hidden="false" customHeight="true" outlineLevel="0" collapsed="false">
      <c r="A10" s="49" t="s">
        <v>193</v>
      </c>
      <c r="B10" s="50" t="s">
        <v>194</v>
      </c>
      <c r="C10" s="51" t="s">
        <v>54</v>
      </c>
      <c r="D10" s="50" t="s">
        <v>48</v>
      </c>
      <c r="E10" s="52" t="n">
        <v>30.52</v>
      </c>
      <c r="F10" s="52" t="n">
        <f aca="false">+E10*$E$5</f>
        <v>30.52</v>
      </c>
      <c r="G10" s="53" t="n">
        <f aca="false">+VLOOKUP(C10&amp;D10,Ресурсы!A:E,5,0)</f>
        <v>520000</v>
      </c>
      <c r="H10" s="53" t="n">
        <f aca="false">+F10*G10</f>
        <v>15870400</v>
      </c>
      <c r="I10" s="38"/>
    </row>
    <row r="11" customFormat="false" ht="15" hidden="false" customHeight="true" outlineLevel="0" collapsed="false">
      <c r="A11" s="49" t="s">
        <v>195</v>
      </c>
      <c r="B11" s="50" t="s">
        <v>196</v>
      </c>
      <c r="C11" s="51" t="s">
        <v>57</v>
      </c>
      <c r="D11" s="50" t="s">
        <v>48</v>
      </c>
      <c r="E11" s="52" t="n">
        <v>2.16</v>
      </c>
      <c r="F11" s="52" t="n">
        <f aca="false">+E11*$E$5</f>
        <v>2.16</v>
      </c>
      <c r="G11" s="53" t="n">
        <f aca="false">+VLOOKUP(C11&amp;D11,Ресурсы!A:E,5,0)</f>
        <v>0</v>
      </c>
      <c r="H11" s="53" t="n">
        <f aca="false">+F11*G11</f>
        <v>0</v>
      </c>
      <c r="I11" s="38"/>
    </row>
    <row r="12" customFormat="false" ht="15" hidden="false" customHeight="true" outlineLevel="0" collapsed="false">
      <c r="A12" s="49" t="s">
        <v>197</v>
      </c>
      <c r="B12" s="50" t="s">
        <v>198</v>
      </c>
      <c r="C12" s="51" t="s">
        <v>59</v>
      </c>
      <c r="D12" s="50" t="s">
        <v>48</v>
      </c>
      <c r="E12" s="52" t="n">
        <v>10.83</v>
      </c>
      <c r="F12" s="52" t="n">
        <f aca="false">+E12*$E$5</f>
        <v>10.83</v>
      </c>
      <c r="G12" s="53" t="n">
        <f aca="false">+VLOOKUP(C12&amp;D12,Ресурсы!A:E,5,0)</f>
        <v>160000</v>
      </c>
      <c r="H12" s="53" t="n">
        <f aca="false">+F12*G12</f>
        <v>1732800</v>
      </c>
      <c r="I12" s="38"/>
    </row>
    <row r="13" customFormat="false" ht="15" hidden="false" customHeight="true" outlineLevel="0" collapsed="false">
      <c r="A13" s="49" t="s">
        <v>199</v>
      </c>
      <c r="B13" s="50" t="s">
        <v>200</v>
      </c>
      <c r="C13" s="51" t="s">
        <v>62</v>
      </c>
      <c r="D13" s="50" t="s">
        <v>48</v>
      </c>
      <c r="E13" s="52" t="n">
        <v>19.82</v>
      </c>
      <c r="F13" s="52" t="n">
        <f aca="false">+E13*$E$5</f>
        <v>19.82</v>
      </c>
      <c r="G13" s="53" t="n">
        <f aca="false">+VLOOKUP(C13&amp;D13,Ресурсы!A:E,5,0)</f>
        <v>650000</v>
      </c>
      <c r="H13" s="53" t="n">
        <f aca="false">+F13*G13</f>
        <v>12883000</v>
      </c>
      <c r="I13" s="38"/>
    </row>
    <row r="14" customFormat="false" ht="15" hidden="false" customHeight="true" outlineLevel="0" collapsed="false">
      <c r="A14" s="49" t="s">
        <v>201</v>
      </c>
      <c r="B14" s="50" t="s">
        <v>202</v>
      </c>
      <c r="C14" s="51" t="s">
        <v>64</v>
      </c>
      <c r="D14" s="50" t="s">
        <v>48</v>
      </c>
      <c r="E14" s="52" t="n">
        <v>12.39</v>
      </c>
      <c r="F14" s="52" t="n">
        <f aca="false">+E14*$E$5</f>
        <v>12.39</v>
      </c>
      <c r="G14" s="53" t="n">
        <f aca="false">+VLOOKUP(C14&amp;D14,Ресурсы!A:E,5,0)</f>
        <v>210000</v>
      </c>
      <c r="H14" s="53" t="n">
        <f aca="false">+F14*G14</f>
        <v>2601900</v>
      </c>
      <c r="I14" s="38"/>
    </row>
    <row r="15" customFormat="false" ht="15" hidden="false" customHeight="true" outlineLevel="0" collapsed="false">
      <c r="A15" s="49" t="s">
        <v>203</v>
      </c>
      <c r="B15" s="50" t="s">
        <v>204</v>
      </c>
      <c r="C15" s="51" t="s">
        <v>66</v>
      </c>
      <c r="D15" s="50" t="s">
        <v>48</v>
      </c>
      <c r="E15" s="52" t="n">
        <v>21.97</v>
      </c>
      <c r="F15" s="52" t="n">
        <f aca="false">+E15*$E$5</f>
        <v>21.97</v>
      </c>
      <c r="G15" s="53" t="n">
        <f aca="false">+VLOOKUP(C15&amp;D15,Ресурсы!A:E,5,0)</f>
        <v>300000</v>
      </c>
      <c r="H15" s="53" t="n">
        <f aca="false">+F15*G15</f>
        <v>6591000</v>
      </c>
      <c r="I15" s="38"/>
    </row>
    <row r="16" customFormat="false" ht="15" hidden="false" customHeight="true" outlineLevel="0" collapsed="false">
      <c r="A16" s="49" t="s">
        <v>205</v>
      </c>
      <c r="B16" s="50" t="s">
        <v>206</v>
      </c>
      <c r="C16" s="51" t="s">
        <v>68</v>
      </c>
      <c r="D16" s="50" t="s">
        <v>48</v>
      </c>
      <c r="E16" s="52" t="n">
        <v>0.52</v>
      </c>
      <c r="F16" s="52" t="n">
        <f aca="false">+E16*$E$5</f>
        <v>0.52</v>
      </c>
      <c r="G16" s="53" t="n">
        <f aca="false">+VLOOKUP(C16&amp;D16,Ресурсы!A:E,5,0)</f>
        <v>8000</v>
      </c>
      <c r="H16" s="53" t="n">
        <f aca="false">+F16*G16</f>
        <v>4160</v>
      </c>
      <c r="I16" s="38"/>
    </row>
    <row r="17" customFormat="false" ht="32.25" hidden="false" customHeight="true" outlineLevel="0" collapsed="false">
      <c r="A17" s="54" t="s">
        <v>207</v>
      </c>
      <c r="B17" s="55" t="s">
        <v>208</v>
      </c>
      <c r="C17" s="56" t="s">
        <v>75</v>
      </c>
      <c r="D17" s="55" t="s">
        <v>76</v>
      </c>
      <c r="E17" s="57" t="n">
        <v>7.58</v>
      </c>
      <c r="F17" s="57" t="n">
        <f aca="false">+E17*$E$5</f>
        <v>7.58</v>
      </c>
      <c r="G17" s="58" t="n">
        <f aca="false">+VLOOKUP(C17&amp;D17,Ресурсы!A:E,5,0)</f>
        <v>519420</v>
      </c>
      <c r="H17" s="58" t="n">
        <f aca="false">+F17*G17</f>
        <v>3937203.6</v>
      </c>
      <c r="I17" s="38"/>
    </row>
    <row r="18" customFormat="false" ht="32.25" hidden="false" customHeight="true" outlineLevel="0" collapsed="false">
      <c r="A18" s="54" t="s">
        <v>209</v>
      </c>
      <c r="B18" s="55" t="s">
        <v>210</v>
      </c>
      <c r="C18" s="56" t="s">
        <v>79</v>
      </c>
      <c r="D18" s="55" t="s">
        <v>76</v>
      </c>
      <c r="E18" s="57" t="n">
        <v>30.3</v>
      </c>
      <c r="F18" s="57" t="n">
        <f aca="false">+E18*$E$5</f>
        <v>30.3</v>
      </c>
      <c r="G18" s="58" t="n">
        <f aca="false">+VLOOKUP(C18&amp;D18,Ресурсы!A:E,5,0)</f>
        <v>1184500</v>
      </c>
      <c r="H18" s="58" t="n">
        <f aca="false">+F18*G18</f>
        <v>35890350</v>
      </c>
      <c r="I18" s="38"/>
    </row>
    <row r="19" customFormat="false" ht="15" hidden="false" customHeight="true" outlineLevel="0" collapsed="false">
      <c r="A19" s="54" t="s">
        <v>211</v>
      </c>
      <c r="B19" s="55" t="s">
        <v>212</v>
      </c>
      <c r="C19" s="56" t="s">
        <v>82</v>
      </c>
      <c r="D19" s="55" t="s">
        <v>73</v>
      </c>
      <c r="E19" s="57" t="n">
        <v>0.0008</v>
      </c>
      <c r="F19" s="57" t="n">
        <f aca="false">+E19*$E$5</f>
        <v>0.0008</v>
      </c>
      <c r="G19" s="58" t="n">
        <f aca="false">+VLOOKUP(C19&amp;D19,Ресурсы!A:E,5,0)</f>
        <v>16500000</v>
      </c>
      <c r="H19" s="58" t="n">
        <f aca="false">+F19*G19</f>
        <v>13200</v>
      </c>
      <c r="I19" s="38"/>
    </row>
    <row r="20" customFormat="false" ht="15" hidden="false" customHeight="true" outlineLevel="0" collapsed="false">
      <c r="A20" s="54" t="s">
        <v>213</v>
      </c>
      <c r="B20" s="55" t="s">
        <v>214</v>
      </c>
      <c r="C20" s="56" t="s">
        <v>86</v>
      </c>
      <c r="D20" s="55" t="s">
        <v>73</v>
      </c>
      <c r="E20" s="57" t="n">
        <v>0.0027</v>
      </c>
      <c r="F20" s="57" t="n">
        <f aca="false">+E20*$E$5</f>
        <v>0.0027</v>
      </c>
      <c r="G20" s="58" t="n">
        <f aca="false">+VLOOKUP(C20&amp;D20,Ресурсы!A:E,5,0)</f>
        <v>15000000</v>
      </c>
      <c r="H20" s="58" t="n">
        <f aca="false">+F20*G20</f>
        <v>40500</v>
      </c>
      <c r="I20" s="38"/>
    </row>
    <row r="21" customFormat="false" ht="15" hidden="false" customHeight="true" outlineLevel="0" collapsed="false">
      <c r="A21" s="54" t="s">
        <v>215</v>
      </c>
      <c r="B21" s="55" t="s">
        <v>216</v>
      </c>
      <c r="C21" s="56" t="s">
        <v>88</v>
      </c>
      <c r="D21" s="55" t="s">
        <v>73</v>
      </c>
      <c r="E21" s="57" t="n">
        <v>0.01</v>
      </c>
      <c r="F21" s="57" t="n">
        <f aca="false">+E21*$E$5</f>
        <v>0.01</v>
      </c>
      <c r="G21" s="58" t="n">
        <f aca="false">+VLOOKUP(C21&amp;D21,Ресурсы!A:E,5,0)</f>
        <v>28000000</v>
      </c>
      <c r="H21" s="58" t="n">
        <f aca="false">+F21*G21</f>
        <v>280000</v>
      </c>
      <c r="I21" s="38"/>
    </row>
    <row r="22" customFormat="false" ht="21.75" hidden="false" customHeight="true" outlineLevel="0" collapsed="false">
      <c r="A22" s="54" t="s">
        <v>217</v>
      </c>
      <c r="B22" s="55" t="s">
        <v>218</v>
      </c>
      <c r="C22" s="56" t="s">
        <v>90</v>
      </c>
      <c r="D22" s="55" t="s">
        <v>91</v>
      </c>
      <c r="E22" s="57" t="n">
        <v>118.68</v>
      </c>
      <c r="F22" s="57" t="n">
        <f aca="false">+E22*$E$5</f>
        <v>118.68</v>
      </c>
      <c r="G22" s="58" t="n">
        <f aca="false">+VLOOKUP(C22&amp;D22,Ресурсы!A:E,5,0)</f>
        <v>9500</v>
      </c>
      <c r="H22" s="58" t="n">
        <f aca="false">+F22*G22</f>
        <v>1127460</v>
      </c>
      <c r="I22" s="38"/>
    </row>
    <row r="23" customFormat="false" ht="15" hidden="false" customHeight="true" outlineLevel="0" collapsed="false">
      <c r="A23" s="54" t="s">
        <v>219</v>
      </c>
      <c r="B23" s="55" t="s">
        <v>220</v>
      </c>
      <c r="C23" s="56" t="s">
        <v>93</v>
      </c>
      <c r="D23" s="55" t="s">
        <v>91</v>
      </c>
      <c r="E23" s="57" t="n">
        <v>55.38</v>
      </c>
      <c r="F23" s="57" t="n">
        <f aca="false">+E23*$E$5</f>
        <v>55.38</v>
      </c>
      <c r="G23" s="58" t="n">
        <f aca="false">+VLOOKUP(C23&amp;D23,Ресурсы!A:E,5,0)</f>
        <v>7800</v>
      </c>
      <c r="H23" s="58" t="n">
        <f aca="false">+F23*G23</f>
        <v>431964</v>
      </c>
      <c r="I23" s="38"/>
    </row>
    <row r="24" customFormat="false" ht="15" hidden="false" customHeight="true" outlineLevel="0" collapsed="false">
      <c r="A24" s="54" t="s">
        <v>221</v>
      </c>
      <c r="B24" s="55" t="s">
        <v>222</v>
      </c>
      <c r="C24" s="56" t="s">
        <v>95</v>
      </c>
      <c r="D24" s="55" t="s">
        <v>96</v>
      </c>
      <c r="E24" s="57" t="n">
        <v>0.06</v>
      </c>
      <c r="F24" s="57" t="n">
        <f aca="false">+E24*$E$5</f>
        <v>0.06</v>
      </c>
      <c r="G24" s="58" t="n">
        <f aca="false">+VLOOKUP(C24&amp;D24,Ресурсы!A:E,5,0)</f>
        <v>25000</v>
      </c>
      <c r="H24" s="58" t="n">
        <f aca="false">+F24*G24</f>
        <v>1500</v>
      </c>
      <c r="I24" s="38"/>
    </row>
    <row r="25" customFormat="false" ht="21.75" hidden="false" customHeight="true" outlineLevel="0" collapsed="false">
      <c r="A25" s="54" t="s">
        <v>223</v>
      </c>
      <c r="B25" s="55" t="s">
        <v>224</v>
      </c>
      <c r="C25" s="56" t="s">
        <v>98</v>
      </c>
      <c r="D25" s="55" t="s">
        <v>71</v>
      </c>
      <c r="E25" s="57" t="n">
        <v>0.07</v>
      </c>
      <c r="F25" s="57" t="n">
        <f aca="false">+E25*$E$5</f>
        <v>0.07</v>
      </c>
      <c r="G25" s="58" t="n">
        <f aca="false">+VLOOKUP(C25&amp;D25,Ресурсы!A:E,5,0)</f>
        <v>3200000</v>
      </c>
      <c r="H25" s="58" t="n">
        <f aca="false">+F25*G25</f>
        <v>224000</v>
      </c>
      <c r="I25" s="38"/>
    </row>
    <row r="26" customFormat="false" ht="15" hidden="false" customHeight="true" outlineLevel="0" collapsed="false">
      <c r="A26" s="54" t="s">
        <v>225</v>
      </c>
      <c r="B26" s="55" t="s">
        <v>226</v>
      </c>
      <c r="C26" s="56" t="s">
        <v>100</v>
      </c>
      <c r="D26" s="55" t="s">
        <v>96</v>
      </c>
      <c r="E26" s="57" t="n">
        <v>0.14</v>
      </c>
      <c r="F26" s="57" t="n">
        <f aca="false">+E26*$E$5</f>
        <v>0.14</v>
      </c>
      <c r="G26" s="58" t="n">
        <f aca="false">+VLOOKUP(C26&amp;D26,Ресурсы!A:E,5,0)</f>
        <v>35000</v>
      </c>
      <c r="H26" s="58" t="n">
        <f aca="false">+F26*G26</f>
        <v>4900</v>
      </c>
      <c r="I26" s="38"/>
    </row>
    <row r="27" customFormat="false" ht="15" hidden="false" customHeight="true" outlineLevel="0" collapsed="false">
      <c r="A27" s="36" t="s">
        <v>227</v>
      </c>
      <c r="B27" s="36"/>
      <c r="C27" s="36"/>
      <c r="D27" s="36"/>
      <c r="E27" s="36"/>
      <c r="F27" s="36"/>
      <c r="G27" s="37"/>
      <c r="H27" s="37"/>
      <c r="I27" s="38"/>
    </row>
    <row r="28" customFormat="false" ht="21.75" hidden="false" customHeight="true" outlineLevel="0" collapsed="false">
      <c r="A28" s="39" t="n">
        <v>2</v>
      </c>
      <c r="B28" s="40" t="s">
        <v>102</v>
      </c>
      <c r="C28" s="41" t="s">
        <v>103</v>
      </c>
      <c r="D28" s="40" t="s">
        <v>96</v>
      </c>
      <c r="E28" s="59" t="s">
        <v>228</v>
      </c>
      <c r="F28" s="60" t="n">
        <f aca="false">Спецификация!D7</f>
        <v>3</v>
      </c>
      <c r="G28" s="61" t="n">
        <f aca="false">+VLOOKUP(C28&amp;D28,Ресурсы!A:E,5,0)</f>
        <v>185000000</v>
      </c>
      <c r="H28" s="61" t="n">
        <f aca="false">+F28*G28</f>
        <v>555000000</v>
      </c>
      <c r="I28" s="62" t="s">
        <v>229</v>
      </c>
    </row>
    <row r="29" customFormat="false" ht="15" hidden="false" customHeight="true" outlineLevel="0" collapsed="false">
      <c r="A29" s="39" t="n">
        <v>3</v>
      </c>
      <c r="B29" s="40" t="s">
        <v>105</v>
      </c>
      <c r="C29" s="41" t="s">
        <v>106</v>
      </c>
      <c r="D29" s="40" t="s">
        <v>76</v>
      </c>
      <c r="E29" s="59" t="s">
        <v>228</v>
      </c>
      <c r="F29" s="60" t="n">
        <f aca="false">Спецификация!D12</f>
        <v>150</v>
      </c>
      <c r="G29" s="61" t="n">
        <f aca="false">+VLOOKUP(C29&amp;D29,Ресурсы!A:E,5,0)</f>
        <v>12500</v>
      </c>
      <c r="H29" s="61" t="n">
        <f aca="false">+F29*G29</f>
        <v>1875000</v>
      </c>
      <c r="I29" s="38"/>
    </row>
    <row r="30" customFormat="false" ht="15" hidden="false" customHeight="true" outlineLevel="0" collapsed="false">
      <c r="A30" s="39" t="n">
        <v>4</v>
      </c>
      <c r="B30" s="40" t="s">
        <v>108</v>
      </c>
      <c r="C30" s="41" t="s">
        <v>109</v>
      </c>
      <c r="D30" s="40" t="s">
        <v>96</v>
      </c>
      <c r="E30" s="59" t="s">
        <v>228</v>
      </c>
      <c r="F30" s="60" t="n">
        <f aca="false">Спецификация!D9</f>
        <v>4</v>
      </c>
      <c r="G30" s="61" t="n">
        <f aca="false">+VLOOKUP(C30&amp;D30,Ресурсы!A:E,5,0)</f>
        <v>6800000</v>
      </c>
      <c r="H30" s="61" t="n">
        <f aca="false">+F30*G30</f>
        <v>27200000</v>
      </c>
      <c r="I30" s="38"/>
    </row>
    <row r="31" customFormat="false" ht="15" hidden="false" customHeight="false" outlineLevel="0" collapsed="false">
      <c r="A31" s="38"/>
      <c r="B31" s="38"/>
      <c r="C31" s="38"/>
      <c r="D31" s="38"/>
      <c r="E31" s="38"/>
      <c r="F31" s="38"/>
      <c r="G31" s="38"/>
      <c r="H31" s="38"/>
      <c r="I31" s="38"/>
    </row>
    <row r="32" customFormat="false" ht="15" hidden="false" customHeight="true" outlineLevel="0" collapsed="false">
      <c r="A32" s="38"/>
      <c r="B32" s="63" t="s">
        <v>230</v>
      </c>
      <c r="C32" s="63"/>
      <c r="D32" s="63" t="s">
        <v>231</v>
      </c>
      <c r="E32" s="43"/>
      <c r="F32" s="43"/>
      <c r="G32" s="43"/>
      <c r="H32" s="64" t="n">
        <f aca="false">SUM($H$5:$H$30)</f>
        <v>669755737.6</v>
      </c>
      <c r="I32" s="38"/>
    </row>
    <row r="33" customFormat="false" ht="15" hidden="false" customHeight="true" outlineLevel="0" collapsed="false">
      <c r="A33" s="38"/>
      <c r="B33" s="65" t="s">
        <v>232</v>
      </c>
      <c r="C33" s="65"/>
      <c r="D33" s="65" t="s">
        <v>231</v>
      </c>
      <c r="E33" s="43"/>
      <c r="F33" s="43"/>
      <c r="G33" s="43"/>
      <c r="H33" s="66" t="n">
        <f aca="false">SUMIFS($H$5:$H$30,$D$5:$D$30,"ЧЕЛ-Ч")</f>
        <v>4046400</v>
      </c>
      <c r="I33" s="38"/>
    </row>
    <row r="34" customFormat="false" ht="15" hidden="false" customHeight="true" outlineLevel="0" collapsed="false">
      <c r="A34" s="38"/>
      <c r="B34" s="65" t="s">
        <v>233</v>
      </c>
      <c r="C34" s="65"/>
      <c r="D34" s="65" t="s">
        <v>231</v>
      </c>
      <c r="E34" s="43"/>
      <c r="F34" s="43"/>
      <c r="G34" s="43"/>
      <c r="H34" s="66" t="n">
        <f aca="false">SUMIFS($H$5:$H$30,$D$5:$D$30,"МАШ-Ч")</f>
        <v>39683260</v>
      </c>
      <c r="I34" s="38"/>
    </row>
    <row r="35" customFormat="false" ht="15" hidden="false" customHeight="true" outlineLevel="0" collapsed="false">
      <c r="A35" s="38"/>
      <c r="B35" s="65" t="s">
        <v>234</v>
      </c>
      <c r="C35" s="65"/>
      <c r="D35" s="65" t="s">
        <v>231</v>
      </c>
      <c r="E35" s="43"/>
      <c r="F35" s="67" t="n">
        <v>0</v>
      </c>
      <c r="G35" s="43"/>
      <c r="H35" s="66" t="n">
        <f aca="false">(H33+H34)*F35</f>
        <v>0</v>
      </c>
      <c r="I35" s="38"/>
    </row>
    <row r="36" customFormat="false" ht="15" hidden="false" customHeight="true" outlineLevel="0" collapsed="false">
      <c r="A36" s="38"/>
      <c r="B36" s="65" t="s">
        <v>235</v>
      </c>
      <c r="C36" s="65"/>
      <c r="D36" s="65" t="s">
        <v>231</v>
      </c>
      <c r="E36" s="43"/>
      <c r="F36" s="43"/>
      <c r="G36" s="43"/>
      <c r="H36" s="66" t="n">
        <f aca="false">H32-H33-H34-SUMIFS($H$5:$H$30,$B$5:$B$30,"обор.")-SUMIFS($H$5:$H$30,$B$5:$B$30,"каб.")</f>
        <v>69151077.6</v>
      </c>
      <c r="I36" s="38"/>
    </row>
    <row r="37" customFormat="false" ht="15" hidden="false" customHeight="true" outlineLevel="0" collapsed="false">
      <c r="A37" s="38"/>
      <c r="B37" s="65" t="s">
        <v>236</v>
      </c>
      <c r="C37" s="65"/>
      <c r="D37" s="65" t="s">
        <v>231</v>
      </c>
      <c r="E37" s="43"/>
      <c r="F37" s="43"/>
      <c r="G37" s="43"/>
      <c r="H37" s="66" t="n">
        <f aca="false">SUMIFS($H$5:$H$30,$B$5:$B$30,"каб.")</f>
        <v>1875000</v>
      </c>
      <c r="I37" s="38"/>
    </row>
    <row r="38" customFormat="false" ht="15" hidden="false" customHeight="true" outlineLevel="0" collapsed="false">
      <c r="A38" s="38"/>
      <c r="B38" s="65" t="s">
        <v>237</v>
      </c>
      <c r="C38" s="65"/>
      <c r="D38" s="65" t="s">
        <v>231</v>
      </c>
      <c r="E38" s="43"/>
      <c r="F38" s="67" t="n">
        <v>0.05</v>
      </c>
      <c r="G38" s="43"/>
      <c r="H38" s="66" t="n">
        <f aca="false">H36*F38</f>
        <v>3457553.88</v>
      </c>
      <c r="I38" s="38"/>
    </row>
    <row r="39" customFormat="false" ht="15" hidden="false" customHeight="true" outlineLevel="0" collapsed="false">
      <c r="A39" s="38"/>
      <c r="B39" s="65" t="s">
        <v>238</v>
      </c>
      <c r="C39" s="65"/>
      <c r="D39" s="65" t="s">
        <v>231</v>
      </c>
      <c r="E39" s="43"/>
      <c r="F39" s="68" t="n">
        <v>0.015</v>
      </c>
      <c r="G39" s="43"/>
      <c r="H39" s="66" t="n">
        <f aca="false">H37*F39</f>
        <v>28125</v>
      </c>
      <c r="I39" s="38"/>
    </row>
    <row r="40" customFormat="false" ht="15" hidden="false" customHeight="true" outlineLevel="0" collapsed="false">
      <c r="A40" s="38"/>
      <c r="B40" s="65" t="s">
        <v>239</v>
      </c>
      <c r="C40" s="65"/>
      <c r="D40" s="65" t="s">
        <v>231</v>
      </c>
      <c r="E40" s="43"/>
      <c r="F40" s="67" t="n">
        <v>0.02</v>
      </c>
      <c r="G40" s="43"/>
      <c r="H40" s="66" t="n">
        <f aca="false">H36*F40</f>
        <v>1383021.552</v>
      </c>
      <c r="I40" s="38"/>
    </row>
    <row r="41" customFormat="false" ht="15" hidden="false" customHeight="true" outlineLevel="0" collapsed="false">
      <c r="A41" s="38"/>
      <c r="B41" s="63" t="s">
        <v>240</v>
      </c>
      <c r="C41" s="63"/>
      <c r="D41" s="63" t="s">
        <v>231</v>
      </c>
      <c r="E41" s="43"/>
      <c r="F41" s="43"/>
      <c r="G41" s="43"/>
      <c r="H41" s="64" t="n">
        <f aca="false">SUM(H33:H40)</f>
        <v>119624438.032</v>
      </c>
      <c r="I41" s="38"/>
    </row>
    <row r="42" customFormat="false" ht="15" hidden="false" customHeight="true" outlineLevel="0" collapsed="false">
      <c r="A42" s="38"/>
      <c r="B42" s="65" t="s">
        <v>241</v>
      </c>
      <c r="C42" s="65"/>
      <c r="D42" s="65" t="s">
        <v>231</v>
      </c>
      <c r="E42" s="43"/>
      <c r="F42" s="43"/>
      <c r="G42" s="43"/>
      <c r="H42" s="66" t="n">
        <f aca="false">SUMIFS($H$5:$H$30,$B$5:$B$30,"обор.")</f>
        <v>555000000</v>
      </c>
      <c r="I42" s="38"/>
    </row>
    <row r="43" customFormat="false" ht="15" hidden="false" customHeight="true" outlineLevel="0" collapsed="false">
      <c r="A43" s="38"/>
      <c r="B43" s="65" t="s">
        <v>242</v>
      </c>
      <c r="C43" s="65"/>
      <c r="D43" s="65" t="s">
        <v>231</v>
      </c>
      <c r="E43" s="43"/>
      <c r="F43" s="67" t="n">
        <v>0.02</v>
      </c>
      <c r="G43" s="43"/>
      <c r="H43" s="66" t="n">
        <f aca="false">H42*F43</f>
        <v>11100000</v>
      </c>
      <c r="I43" s="38"/>
    </row>
    <row r="44" customFormat="false" ht="15" hidden="false" customHeight="true" outlineLevel="0" collapsed="false">
      <c r="A44" s="38"/>
      <c r="B44" s="65" t="s">
        <v>243</v>
      </c>
      <c r="C44" s="65"/>
      <c r="D44" s="65" t="s">
        <v>231</v>
      </c>
      <c r="E44" s="43"/>
      <c r="F44" s="67" t="n">
        <v>0.17</v>
      </c>
      <c r="G44" s="43"/>
      <c r="H44" s="66" t="n">
        <f aca="false">H41*F44</f>
        <v>20336154.46544</v>
      </c>
      <c r="I44" s="38"/>
    </row>
    <row r="45" customFormat="false" ht="15" hidden="false" customHeight="true" outlineLevel="0" collapsed="false">
      <c r="A45" s="38"/>
      <c r="B45" s="63" t="s">
        <v>240</v>
      </c>
      <c r="C45" s="63"/>
      <c r="D45" s="63" t="s">
        <v>231</v>
      </c>
      <c r="E45" s="43"/>
      <c r="F45" s="43"/>
      <c r="G45" s="43"/>
      <c r="H45" s="64" t="n">
        <f aca="false">SUM(H41:H44)</f>
        <v>706060592.49744</v>
      </c>
      <c r="I45" s="38"/>
    </row>
    <row r="46" customFormat="false" ht="15" hidden="false" customHeight="true" outlineLevel="0" collapsed="false">
      <c r="A46" s="38"/>
      <c r="B46" s="65" t="s">
        <v>244</v>
      </c>
      <c r="C46" s="65"/>
      <c r="D46" s="65" t="s">
        <v>231</v>
      </c>
      <c r="E46" s="43"/>
      <c r="F46" s="67" t="n">
        <v>0.12</v>
      </c>
      <c r="G46" s="43"/>
      <c r="H46" s="66" t="n">
        <f aca="false">H45*F46</f>
        <v>84727271.0996928</v>
      </c>
      <c r="I46" s="38"/>
    </row>
    <row r="47" customFormat="false" ht="15" hidden="false" customHeight="true" outlineLevel="0" collapsed="false">
      <c r="A47" s="38"/>
      <c r="B47" s="65" t="s">
        <v>245</v>
      </c>
      <c r="C47" s="65"/>
      <c r="D47" s="65" t="s">
        <v>231</v>
      </c>
      <c r="E47" s="43"/>
      <c r="F47" s="43"/>
      <c r="G47" s="43"/>
      <c r="H47" s="66" t="n">
        <f aca="false">-SUMIFS($H$5:$H$30,$B$5:$B$30,"мз")</f>
        <v>-27200000</v>
      </c>
      <c r="I47" s="38"/>
    </row>
    <row r="48" customFormat="false" ht="15" hidden="false" customHeight="true" outlineLevel="0" collapsed="false">
      <c r="A48" s="38"/>
      <c r="B48" s="63" t="s">
        <v>246</v>
      </c>
      <c r="C48" s="63"/>
      <c r="D48" s="63" t="s">
        <v>231</v>
      </c>
      <c r="E48" s="43"/>
      <c r="F48" s="43"/>
      <c r="G48" s="43"/>
      <c r="H48" s="64" t="n">
        <f aca="false">H45+H46+H47</f>
        <v>763587863.597133</v>
      </c>
      <c r="I48" s="38"/>
    </row>
  </sheetData>
  <mergeCells count="26">
    <mergeCell ref="A1:A2"/>
    <mergeCell ref="B1:B2"/>
    <mergeCell ref="C1:C2"/>
    <mergeCell ref="D1:D2"/>
    <mergeCell ref="E1:F1"/>
    <mergeCell ref="G1:H1"/>
    <mergeCell ref="I1:I2"/>
    <mergeCell ref="A4:F4"/>
    <mergeCell ref="A27:F27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82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16"/>
    <col collapsed="false" customWidth="true" hidden="false" outlineLevel="0" max="9" min="9" style="1" width="40"/>
  </cols>
  <sheetData>
    <row r="1" customFormat="false" ht="15" hidden="false" customHeight="true" outlineLevel="0" collapsed="false">
      <c r="A1" s="34" t="s">
        <v>175</v>
      </c>
      <c r="B1" s="34" t="s">
        <v>176</v>
      </c>
      <c r="C1" s="34" t="s">
        <v>177</v>
      </c>
      <c r="D1" s="34" t="s">
        <v>23</v>
      </c>
      <c r="E1" s="34" t="s">
        <v>178</v>
      </c>
      <c r="F1" s="34"/>
      <c r="G1" s="34" t="s">
        <v>179</v>
      </c>
      <c r="H1" s="34"/>
      <c r="I1" s="34" t="s">
        <v>11</v>
      </c>
    </row>
    <row r="2" customFormat="false" ht="30" hidden="false" customHeight="true" outlineLevel="0" collapsed="false">
      <c r="A2" s="34"/>
      <c r="B2" s="34"/>
      <c r="C2" s="34"/>
      <c r="D2" s="34"/>
      <c r="E2" s="34" t="s">
        <v>180</v>
      </c>
      <c r="F2" s="34" t="s">
        <v>181</v>
      </c>
      <c r="G2" s="34" t="s">
        <v>182</v>
      </c>
      <c r="H2" s="34" t="s">
        <v>183</v>
      </c>
      <c r="I2" s="34"/>
    </row>
    <row r="3" customFormat="false" ht="15" hidden="false" customHeight="true" outlineLevel="0" collapsed="false">
      <c r="A3" s="35" t="n">
        <v>1</v>
      </c>
      <c r="B3" s="35" t="n">
        <v>2</v>
      </c>
      <c r="C3" s="35" t="n">
        <v>3</v>
      </c>
      <c r="D3" s="35" t="n">
        <v>4</v>
      </c>
      <c r="E3" s="35" t="n">
        <v>5</v>
      </c>
      <c r="F3" s="35" t="n">
        <v>6</v>
      </c>
      <c r="G3" s="35" t="n">
        <v>7</v>
      </c>
      <c r="H3" s="35" t="n">
        <v>8</v>
      </c>
      <c r="I3" s="35" t="n">
        <v>9</v>
      </c>
    </row>
    <row r="4" customFormat="false" ht="15" hidden="false" customHeight="true" outlineLevel="0" collapsed="false">
      <c r="A4" s="36" t="s">
        <v>247</v>
      </c>
      <c r="B4" s="36"/>
      <c r="C4" s="36"/>
      <c r="D4" s="36"/>
      <c r="E4" s="36"/>
      <c r="F4" s="36"/>
      <c r="G4" s="37"/>
      <c r="H4" s="37"/>
      <c r="I4" s="38"/>
    </row>
    <row r="5" customFormat="false" ht="23.25" hidden="false" customHeight="true" outlineLevel="0" collapsed="false">
      <c r="A5" s="39" t="n">
        <v>1</v>
      </c>
      <c r="B5" s="40" t="s">
        <v>161</v>
      </c>
      <c r="C5" s="41" t="s">
        <v>248</v>
      </c>
      <c r="D5" s="41" t="s">
        <v>249</v>
      </c>
      <c r="E5" s="42" t="n">
        <f aca="false">ВОР!D12/1000</f>
        <v>1.25</v>
      </c>
      <c r="F5" s="43"/>
      <c r="G5" s="43"/>
      <c r="H5" s="43"/>
      <c r="I5" s="38"/>
    </row>
    <row r="6" customFormat="false" ht="15" hidden="false" customHeight="true" outlineLevel="0" collapsed="false">
      <c r="A6" s="44" t="s">
        <v>187</v>
      </c>
      <c r="B6" s="45" t="s">
        <v>120</v>
      </c>
      <c r="C6" s="46" t="s">
        <v>32</v>
      </c>
      <c r="D6" s="45" t="s">
        <v>33</v>
      </c>
      <c r="E6" s="47" t="n">
        <v>11.41</v>
      </c>
      <c r="F6" s="47" t="n">
        <f aca="false">+E6*$E$5</f>
        <v>14.2625</v>
      </c>
      <c r="G6" s="48" t="n">
        <f aca="false">+VLOOKUP(C6&amp;D6,Ресурсы!A:E,5,0)</f>
        <v>45000</v>
      </c>
      <c r="H6" s="48" t="n">
        <f aca="false">+F6*G6</f>
        <v>641812.5</v>
      </c>
      <c r="I6" s="38"/>
    </row>
    <row r="7" customFormat="false" ht="15" hidden="false" customHeight="true" outlineLevel="0" collapsed="false">
      <c r="A7" s="44" t="s">
        <v>188</v>
      </c>
      <c r="B7" s="45" t="s">
        <v>130</v>
      </c>
      <c r="C7" s="46" t="s">
        <v>38</v>
      </c>
      <c r="D7" s="45" t="s">
        <v>33</v>
      </c>
      <c r="E7" s="47" t="n">
        <v>33.09</v>
      </c>
      <c r="F7" s="47" t="n">
        <f aca="false">+E7*$E$5</f>
        <v>41.3625</v>
      </c>
      <c r="G7" s="48" t="n">
        <f aca="false">+VLOOKUP(C7&amp;D7,Ресурсы!A:E,5,0)</f>
        <v>0</v>
      </c>
      <c r="H7" s="48" t="n">
        <f aca="false">+F7*G7</f>
        <v>0</v>
      </c>
      <c r="I7" s="38"/>
    </row>
    <row r="8" customFormat="false" ht="21.75" hidden="false" customHeight="true" outlineLevel="0" collapsed="false">
      <c r="A8" s="49" t="s">
        <v>189</v>
      </c>
      <c r="B8" s="50" t="s">
        <v>250</v>
      </c>
      <c r="C8" s="51" t="s">
        <v>47</v>
      </c>
      <c r="D8" s="50" t="s">
        <v>48</v>
      </c>
      <c r="E8" s="52" t="n">
        <v>25.25</v>
      </c>
      <c r="F8" s="52" t="n">
        <f aca="false">+E8*$E$5</f>
        <v>31.5625</v>
      </c>
      <c r="G8" s="53" t="n">
        <f aca="false">+VLOOKUP(C8&amp;D8,Ресурсы!A:E,5,0)</f>
        <v>420000</v>
      </c>
      <c r="H8" s="53" t="n">
        <f aca="false">+F8*G8</f>
        <v>13256250</v>
      </c>
      <c r="I8" s="38"/>
    </row>
    <row r="9" customFormat="false" ht="21.75" hidden="false" customHeight="true" outlineLevel="0" collapsed="false">
      <c r="A9" s="49" t="s">
        <v>191</v>
      </c>
      <c r="B9" s="50" t="s">
        <v>251</v>
      </c>
      <c r="C9" s="51" t="s">
        <v>51</v>
      </c>
      <c r="D9" s="50" t="s">
        <v>48</v>
      </c>
      <c r="E9" s="52" t="n">
        <v>7.84</v>
      </c>
      <c r="F9" s="52" t="n">
        <f aca="false">+E9*$E$5</f>
        <v>9.8</v>
      </c>
      <c r="G9" s="53" t="n">
        <f aca="false">+VLOOKUP(C9&amp;D9,Ресурсы!A:E,5,0)</f>
        <v>380000</v>
      </c>
      <c r="H9" s="53" t="n">
        <f aca="false">+F9*G9</f>
        <v>3724000</v>
      </c>
      <c r="I9" s="38"/>
    </row>
    <row r="10" customFormat="false" ht="15" hidden="false" customHeight="true" outlineLevel="0" collapsed="false">
      <c r="A10" s="54" t="s">
        <v>193</v>
      </c>
      <c r="B10" s="55" t="s">
        <v>252</v>
      </c>
      <c r="C10" s="56" t="s">
        <v>70</v>
      </c>
      <c r="D10" s="55" t="s">
        <v>71</v>
      </c>
      <c r="E10" s="57" t="n">
        <v>0.04</v>
      </c>
      <c r="F10" s="57" t="n">
        <f aca="false">+E10*$E$5</f>
        <v>0.05</v>
      </c>
      <c r="G10" s="58" t="n">
        <f aca="false">+VLOOKUP(C10&amp;D10,Ресурсы!A:E,5,0)</f>
        <v>203000</v>
      </c>
      <c r="H10" s="58" t="n">
        <f aca="false">+F10*G10</f>
        <v>10150</v>
      </c>
      <c r="I10" s="38"/>
    </row>
    <row r="11" customFormat="false" ht="15" hidden="false" customHeight="false" outlineLevel="0" collapsed="false">
      <c r="A11" s="38"/>
      <c r="B11" s="38"/>
      <c r="C11" s="38"/>
      <c r="D11" s="38"/>
      <c r="E11" s="38"/>
      <c r="F11" s="38"/>
      <c r="G11" s="38"/>
      <c r="H11" s="38"/>
      <c r="I11" s="38"/>
    </row>
    <row r="12" customFormat="false" ht="15" hidden="false" customHeight="true" outlineLevel="0" collapsed="false">
      <c r="A12" s="38"/>
      <c r="B12" s="63" t="s">
        <v>230</v>
      </c>
      <c r="C12" s="63"/>
      <c r="D12" s="63" t="s">
        <v>231</v>
      </c>
      <c r="E12" s="43"/>
      <c r="F12" s="43"/>
      <c r="G12" s="43"/>
      <c r="H12" s="64" t="n">
        <f aca="false">SUM($H$5:$H$10)</f>
        <v>17632212.5</v>
      </c>
      <c r="I12" s="38"/>
    </row>
    <row r="13" customFormat="false" ht="15" hidden="false" customHeight="true" outlineLevel="0" collapsed="false">
      <c r="A13" s="38"/>
      <c r="B13" s="65" t="s">
        <v>232</v>
      </c>
      <c r="C13" s="65"/>
      <c r="D13" s="65" t="s">
        <v>231</v>
      </c>
      <c r="E13" s="43"/>
      <c r="F13" s="43"/>
      <c r="G13" s="43"/>
      <c r="H13" s="66" t="n">
        <f aca="false">SUMIFS($H$5:$H$10,$D$5:$D$10,"ЧЕЛ-Ч")</f>
        <v>641812.5</v>
      </c>
      <c r="I13" s="38"/>
    </row>
    <row r="14" customFormat="false" ht="15" hidden="false" customHeight="true" outlineLevel="0" collapsed="false">
      <c r="A14" s="38"/>
      <c r="B14" s="65" t="s">
        <v>233</v>
      </c>
      <c r="C14" s="65"/>
      <c r="D14" s="65" t="s">
        <v>231</v>
      </c>
      <c r="E14" s="43"/>
      <c r="F14" s="43"/>
      <c r="G14" s="43"/>
      <c r="H14" s="66" t="n">
        <f aca="false">SUMIFS($H$5:$H$10,$D$5:$D$10,"МАШ-Ч")</f>
        <v>16980250</v>
      </c>
      <c r="I14" s="38"/>
    </row>
    <row r="15" customFormat="false" ht="15" hidden="false" customHeight="true" outlineLevel="0" collapsed="false">
      <c r="A15" s="38"/>
      <c r="B15" s="65" t="s">
        <v>234</v>
      </c>
      <c r="C15" s="65"/>
      <c r="D15" s="65" t="s">
        <v>231</v>
      </c>
      <c r="E15" s="43"/>
      <c r="F15" s="67" t="n">
        <v>0</v>
      </c>
      <c r="G15" s="43"/>
      <c r="H15" s="66" t="n">
        <f aca="false">(H13+H14)*F15</f>
        <v>0</v>
      </c>
      <c r="I15" s="38"/>
    </row>
    <row r="16" customFormat="false" ht="15" hidden="false" customHeight="true" outlineLevel="0" collapsed="false">
      <c r="A16" s="38"/>
      <c r="B16" s="65" t="s">
        <v>235</v>
      </c>
      <c r="C16" s="65"/>
      <c r="D16" s="65" t="s">
        <v>231</v>
      </c>
      <c r="E16" s="43"/>
      <c r="F16" s="43"/>
      <c r="G16" s="43"/>
      <c r="H16" s="66" t="n">
        <f aca="false">H12-H13-H14-SUMIFS($H$5:$H$10,$B$5:$B$10,"обор.")-SUMIFS($H$5:$H$10,$B$5:$B$10,"каб.")</f>
        <v>10150</v>
      </c>
      <c r="I16" s="38"/>
    </row>
    <row r="17" customFormat="false" ht="15" hidden="false" customHeight="true" outlineLevel="0" collapsed="false">
      <c r="A17" s="38"/>
      <c r="B17" s="65" t="s">
        <v>236</v>
      </c>
      <c r="C17" s="65"/>
      <c r="D17" s="65" t="s">
        <v>231</v>
      </c>
      <c r="E17" s="43"/>
      <c r="F17" s="43"/>
      <c r="G17" s="43"/>
      <c r="H17" s="66" t="n">
        <f aca="false">SUMIFS($H$5:$H$10,$B$5:$B$10,"каб.")</f>
        <v>0</v>
      </c>
      <c r="I17" s="38"/>
    </row>
    <row r="18" customFormat="false" ht="15" hidden="false" customHeight="true" outlineLevel="0" collapsed="false">
      <c r="A18" s="38"/>
      <c r="B18" s="65" t="s">
        <v>237</v>
      </c>
      <c r="C18" s="65"/>
      <c r="D18" s="65" t="s">
        <v>231</v>
      </c>
      <c r="E18" s="43"/>
      <c r="F18" s="67" t="n">
        <v>0.05</v>
      </c>
      <c r="G18" s="43"/>
      <c r="H18" s="66" t="n">
        <f aca="false">H16*F18</f>
        <v>507.5</v>
      </c>
      <c r="I18" s="38"/>
    </row>
    <row r="19" customFormat="false" ht="15" hidden="false" customHeight="true" outlineLevel="0" collapsed="false">
      <c r="A19" s="38"/>
      <c r="B19" s="65" t="s">
        <v>238</v>
      </c>
      <c r="C19" s="65"/>
      <c r="D19" s="65" t="s">
        <v>231</v>
      </c>
      <c r="E19" s="43"/>
      <c r="F19" s="68" t="n">
        <v>0.015</v>
      </c>
      <c r="G19" s="43"/>
      <c r="H19" s="66" t="n">
        <f aca="false">H17*F19</f>
        <v>0</v>
      </c>
      <c r="I19" s="38"/>
    </row>
    <row r="20" customFormat="false" ht="15" hidden="false" customHeight="true" outlineLevel="0" collapsed="false">
      <c r="A20" s="38"/>
      <c r="B20" s="65" t="s">
        <v>239</v>
      </c>
      <c r="C20" s="65"/>
      <c r="D20" s="65" t="s">
        <v>231</v>
      </c>
      <c r="E20" s="43"/>
      <c r="F20" s="67" t="n">
        <v>0.02</v>
      </c>
      <c r="G20" s="43"/>
      <c r="H20" s="66" t="n">
        <f aca="false">H16*F20</f>
        <v>203</v>
      </c>
      <c r="I20" s="38"/>
    </row>
    <row r="21" customFormat="false" ht="15" hidden="false" customHeight="true" outlineLevel="0" collapsed="false">
      <c r="A21" s="38"/>
      <c r="B21" s="63" t="s">
        <v>240</v>
      </c>
      <c r="C21" s="63"/>
      <c r="D21" s="63" t="s">
        <v>231</v>
      </c>
      <c r="E21" s="43"/>
      <c r="F21" s="43"/>
      <c r="G21" s="43"/>
      <c r="H21" s="64" t="n">
        <f aca="false">SUM(H13:H20)</f>
        <v>17632923</v>
      </c>
      <c r="I21" s="38"/>
    </row>
    <row r="22" customFormat="false" ht="15" hidden="false" customHeight="true" outlineLevel="0" collapsed="false">
      <c r="A22" s="38"/>
      <c r="B22" s="65" t="s">
        <v>241</v>
      </c>
      <c r="C22" s="65"/>
      <c r="D22" s="65" t="s">
        <v>231</v>
      </c>
      <c r="E22" s="43"/>
      <c r="F22" s="43"/>
      <c r="G22" s="43"/>
      <c r="H22" s="66" t="n">
        <f aca="false">SUMIFS($H$5:$H$10,$B$5:$B$10,"обор.")</f>
        <v>0</v>
      </c>
      <c r="I22" s="38"/>
    </row>
    <row r="23" customFormat="false" ht="15" hidden="false" customHeight="true" outlineLevel="0" collapsed="false">
      <c r="A23" s="38"/>
      <c r="B23" s="65" t="s">
        <v>242</v>
      </c>
      <c r="C23" s="65"/>
      <c r="D23" s="65" t="s">
        <v>231</v>
      </c>
      <c r="E23" s="43"/>
      <c r="F23" s="67" t="n">
        <v>0.02</v>
      </c>
      <c r="G23" s="43"/>
      <c r="H23" s="66" t="n">
        <f aca="false">H22*F23</f>
        <v>0</v>
      </c>
      <c r="I23" s="38"/>
    </row>
    <row r="24" customFormat="false" ht="15" hidden="false" customHeight="true" outlineLevel="0" collapsed="false">
      <c r="A24" s="38"/>
      <c r="B24" s="65" t="s">
        <v>243</v>
      </c>
      <c r="C24" s="65"/>
      <c r="D24" s="65" t="s">
        <v>231</v>
      </c>
      <c r="E24" s="43"/>
      <c r="F24" s="67" t="n">
        <v>0.17</v>
      </c>
      <c r="G24" s="43"/>
      <c r="H24" s="66" t="n">
        <f aca="false">H21*F24</f>
        <v>2997596.91</v>
      </c>
      <c r="I24" s="38"/>
    </row>
    <row r="25" customFormat="false" ht="15" hidden="false" customHeight="true" outlineLevel="0" collapsed="false">
      <c r="A25" s="38"/>
      <c r="B25" s="63" t="s">
        <v>240</v>
      </c>
      <c r="C25" s="63"/>
      <c r="D25" s="63" t="s">
        <v>231</v>
      </c>
      <c r="E25" s="43"/>
      <c r="F25" s="43"/>
      <c r="G25" s="43"/>
      <c r="H25" s="64" t="n">
        <f aca="false">SUM(H21:H24)</f>
        <v>20630519.91</v>
      </c>
      <c r="I25" s="38"/>
    </row>
    <row r="26" customFormat="false" ht="15" hidden="false" customHeight="true" outlineLevel="0" collapsed="false">
      <c r="A26" s="38"/>
      <c r="B26" s="65" t="s">
        <v>244</v>
      </c>
      <c r="C26" s="65"/>
      <c r="D26" s="65" t="s">
        <v>231</v>
      </c>
      <c r="E26" s="43"/>
      <c r="F26" s="67" t="n">
        <v>0.12</v>
      </c>
      <c r="G26" s="43"/>
      <c r="H26" s="66" t="n">
        <f aca="false">H25*F26</f>
        <v>2475662.3892</v>
      </c>
      <c r="I26" s="38"/>
    </row>
    <row r="27" customFormat="false" ht="15" hidden="false" customHeight="true" outlineLevel="0" collapsed="false">
      <c r="A27" s="38"/>
      <c r="B27" s="65" t="s">
        <v>245</v>
      </c>
      <c r="C27" s="65"/>
      <c r="D27" s="65" t="s">
        <v>231</v>
      </c>
      <c r="E27" s="43"/>
      <c r="F27" s="43"/>
      <c r="G27" s="43"/>
      <c r="H27" s="66" t="n">
        <f aca="false">-SUMIFS($H$5:$H$10,$B$5:$B$10,"мз")</f>
        <v>-0</v>
      </c>
      <c r="I27" s="38"/>
    </row>
    <row r="28" customFormat="false" ht="15" hidden="false" customHeight="true" outlineLevel="0" collapsed="false">
      <c r="A28" s="38"/>
      <c r="B28" s="63" t="s">
        <v>246</v>
      </c>
      <c r="C28" s="63"/>
      <c r="D28" s="63" t="s">
        <v>231</v>
      </c>
      <c r="E28" s="43"/>
      <c r="F28" s="43"/>
      <c r="G28" s="43"/>
      <c r="H28" s="64" t="n">
        <f aca="false">H25+H26+H27</f>
        <v>23106182.2992</v>
      </c>
      <c r="I28" s="38"/>
    </row>
  </sheetData>
  <mergeCells count="25">
    <mergeCell ref="A1:A2"/>
    <mergeCell ref="B1:B2"/>
    <mergeCell ref="C1:C2"/>
    <mergeCell ref="D1:D2"/>
    <mergeCell ref="E1:F1"/>
    <mergeCell ref="G1:H1"/>
    <mergeCell ref="I1:I2"/>
    <mergeCell ref="A4:F4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2026-10-14T04:30:48Z</dcterms:created>
  <dc:creator>openpyxl</dc:creator>
  <dc:description/>
  <dc:language>en-US</dc:language>
  <cp:lastModifiedBy/>
  <dcterms:modified xsi:type="dcterms:W3CDTF">2026-10-21T07:44:10Z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